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samuellinfield/ijs/v2/ai-testing/mpcffull/"/>
    </mc:Choice>
  </mc:AlternateContent>
  <xr:revisionPtr revIDLastSave="0" documentId="13_ncr:1_{B26491CB-5E2C-4942-A7DF-8EB42A77AF57}" xr6:coauthVersionLast="47" xr6:coauthVersionMax="47" xr10:uidLastSave="{00000000-0000-0000-0000-000000000000}"/>
  <bookViews>
    <workbookView xWindow="0" yWindow="1540" windowWidth="38400" windowHeight="19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1" l="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29" i="1"/>
  <c r="J30" i="1"/>
  <c r="J9" i="1"/>
  <c r="J10" i="1"/>
  <c r="J11" i="1"/>
  <c r="J12" i="1"/>
  <c r="J13" i="1"/>
  <c r="J14" i="1"/>
  <c r="J15" i="1"/>
  <c r="J16" i="1"/>
  <c r="J17" i="1"/>
  <c r="J18" i="1"/>
  <c r="J19" i="1"/>
  <c r="J20" i="1"/>
  <c r="J21" i="1"/>
  <c r="J22" i="1"/>
  <c r="J23" i="1"/>
  <c r="J24" i="1"/>
  <c r="J25" i="1"/>
  <c r="J26" i="1"/>
  <c r="J27" i="1"/>
  <c r="J28" i="1"/>
  <c r="J31" i="1"/>
  <c r="J32" i="1"/>
  <c r="J33"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2" i="1"/>
  <c r="R81" i="1" s="1"/>
  <c r="N2" i="1"/>
  <c r="N81"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J2" i="1"/>
  <c r="J3" i="1"/>
  <c r="J4" i="1"/>
  <c r="J5" i="1"/>
  <c r="J6" i="1"/>
  <c r="J7" i="1"/>
  <c r="J8" i="1"/>
  <c r="K22" i="1"/>
  <c r="H3" i="1"/>
  <c r="H4" i="1"/>
  <c r="H5" i="1"/>
  <c r="H6" i="1"/>
  <c r="H7" i="1"/>
  <c r="H8" i="1"/>
  <c r="H9" i="1"/>
  <c r="H10" i="1"/>
  <c r="H11" i="1"/>
  <c r="H12" i="1"/>
  <c r="H13" i="1"/>
  <c r="H14" i="1"/>
  <c r="H15" i="1"/>
  <c r="H16" i="1"/>
  <c r="H17" i="1"/>
  <c r="H2" i="1"/>
  <c r="J81" i="1" l="1"/>
</calcChain>
</file>

<file path=xl/sharedStrings.xml><?xml version="1.0" encoding="utf-8"?>
<sst xmlns="http://schemas.openxmlformats.org/spreadsheetml/2006/main" count="357" uniqueCount="356">
  <si>
    <t>product_name</t>
  </si>
  <si>
    <t>cf_c2gate_min</t>
  </si>
  <si>
    <t>cf_c2gate_max</t>
  </si>
  <si>
    <t>average</t>
  </si>
  <si>
    <t>cf_c2grave</t>
  </si>
  <si>
    <t>Unnamed: 4</t>
  </si>
  <si>
    <t>cf_ecozeAI</t>
  </si>
  <si>
    <t>cf_value_extracted</t>
  </si>
  <si>
    <t>% difference</t>
  </si>
  <si>
    <t>Unnamed: 8</t>
  </si>
  <si>
    <t>spend_based_ef_cf</t>
  </si>
  <si>
    <t>% difference.1</t>
  </si>
  <si>
    <t>ai_reasoning_sef</t>
  </si>
  <si>
    <t>Unnamed: 12</t>
  </si>
  <si>
    <t>activity_based_ef_cf</t>
  </si>
  <si>
    <t>% difference.2</t>
  </si>
  <si>
    <t>ai_resoning_aef</t>
  </si>
  <si>
    <t>product_description</t>
  </si>
  <si>
    <t>Catalyst 9300-48P Switch</t>
  </si>
  <si>
    <t>Calculated by multiplying the estimated market retail price of approximately $3,153.00 (based on current street prices for the C9300-48P-A/E models) by the spend-based emissions factor for "Other Communications Equipment Manufacturing" (NAICS 334290) which is 0.114 kgCO2e per USD. Data source: US EPA Supply Chain Greenhouse Gas Emission Factors v1.2 (2021) - https://www.epa.gov/maintaining-supply-chain-emission-factors-and-data-quality-scores</t>
  </si>
  <si>
    <t>Calculated using a unit-based activity factor for the production of an enterprise-grade network switch. Research indicates that the cradle-to-gate manufacturing footprint of an average 48-port enterprise switch is approximately 448 kgCO2e per unit (with a standard deviation of 67 kg). This value accounts for raw material extraction (including precious metals), component production (semiconductors, PCBs), and assembly. Data source: Nordic Computer (2022) based on Dell'Oro Group industry shipment and LCA data - https://nordiccomputer.com/blog/what-is-the-carbon-footprint-from-manufacturing-a-network-switch/</t>
  </si>
  <si>
    <t>The Cisco Catalyst 9300-48P is a high-performance, stackable enterprise-class access switch designed for security, IoT, mobility, and cloud-integrated networking. It serves as a foundational building block for Cisco’s Software-Defined Access (SD-Access) architecture. The switch features 48 built-in 10/100/1000 Ethernet ports, all of which support IEEE 802.3at PoE+ (Power over Ethernet Plus) to deliver up to 30W of power per port for devices such as IP phones, wireless access points, and security cameras. It provides a default PoE budget of 437W with a single 715W AC power supply, which can be expanded to 1440W using dual redundant power supplies.
Operationally, the switch utilizes Cisco’s StackWise-480 technology, allowing up to eight units to be stacked as a single logical entity with a massive 480 Gbps of stacking bandwidth. It supports modular uplinks with field-replaceable network modules offering speeds of 1G, 10G, 25G, or 40G. The device runs on the modern Cisco IOS XE operating system, which supports model-driven programmability, streaming telemetry, and container-based application hosting. Advanced security features include Encrypted Traffic Analytics (ETA), MACsec-256 encryption, and hardware-anchored Secure Boot.
Physically, the Catalyst 9300-48P is housed in a durable, rack-mountable 1RU steel chassis. Its internal hardware is built around a multi-core x86 CPU complex with 8GB of DRAM and 16GB of internal flash storage. The core switching logic is driven by Cisco’s Unified Access Data Plane (UADP) 2.0 Application-Specific Integrated Circuit (ASIC), which enables wire-rate performance and programmable pipeline capabilities. For thermal management and reliability, the unit includes three field-replaceable N+1 redundant cooling fans and two slots for modular, redundant power supplies.</t>
  </si>
  <si>
    <t>Catalyst 9407R Switch</t>
  </si>
  <si>
    <t>Calculated by multiplying the MSRP of the Cisco Catalyst 9407R chassis ($6,032.71, sourced from itprice.com and secureitstore.com) by the US EPA Supply Chain Greenhouse Gas Emission Factor for "Communications equipment manufacturing" (NAICS 334220), which is 0.18701 kgCO2e per 2022 USD (sourced from US EPA Supply Chain GHG Emission Factors v1.3, 2024).</t>
  </si>
  <si>
    <t>Calculated by multiplying the product weight of the Catalyst 9407R chassis with fan tray (28.58 kg, sourced from the Cisco Catalyst 9400 Series datasheet) by an activity-based emission factor for network switches of 22.5 kgCO2e/kg (sourced from the ADEME Base Empreinte database for "Commutateur réseau" / Network switch).</t>
  </si>
  <si>
    <t>The Cisco Catalyst 9407R is a 7-slot modular chassis switch from the Catalyst 9400 Series, designed as a high-performance foundation for enterprise-level access, distribution, and core networking. Occupying 10 rack units (10 RU), it features a modular architecture that includes two dedicated slots for redundant supervisor engines and five slots for various line cards, supporting a total of up to 240 non-blocking ports. The switch is engineered to deliver high availability and scalability, with a system bandwidth capability of up to 9 Tbps and per-slot capacity of up to 480 Gbps. It supports advanced Power over Ethernet (PoE) technologies, including 90W Cisco UPOE+ and 60W UPOE, making it ideal for high-density IoT deployments such as Wi-Fi 6/6E access points and smart building infrastructure.
This switch provides robust high-availability features, including N+1 or N+N power supply redundancy, hot-swappable fans, and StackWise Virtual technology for simplified management and increased resiliency. It is optimized for Cisco’s Software-Defined Access (SD-Access) and Cisco DNA Center, enabling automated network provisioning, segmentation, and policy management. The Catalyst 9407R is constructed from a heavy-duty metal chassis (typically cold-rolled steel) with internal components housed in modular brackets. It incorporates high-performance Cisco UADP (Unified Access Data Plane) ASICs for high-speed packet processing. The unit is built to meet rigorous international standards, including NEBS Level 3 and RoHS compliance, and features embedded RFID tags for automated asset and inventory tracking.</t>
  </si>
  <si>
    <t>Catalyst 9500-48Y4C Switch</t>
  </si>
  <si>
    <t>Calculated by multiplying the product's list price ($29,534.72 for the C9500-48Y4C-A model from the Cisco Global Price List 2025 via itprice.com) by the spend-based emission factor for "Other Communications Equipment Manufacturing" of 0.114 kgCO2e per USD (source: EPA Supply Chain Greenhouse Gas Emission Factors v1.2, 2021 USD purchaser price). Data source: https://www.epa.gov/maintaining-sustainable-materials-management-prioritization-tools/supply-chain-ghg-emission-factors</t>
  </si>
  <si>
    <t>Based on the industry average activity-based emission factor for the manufacturing of a network switch, estimated at 448 kgCO2e per unit (source: Nordic Computer, "What Is the Carbon Footprint from Manufacturing a Network Switch?", 2022). This value represents the cradle-to-gate embodied carbon for an enterprise-class switch, covering raw material extraction, component production, and assembly. Data source: https://nordiccomputer.com/news/what-is-the-carbon-footprint-from-manufacturing-a-network-switch/</t>
  </si>
  <si>
    <t>The Cisco Catalyst 9500-48Y4C is a high-performance, enterprise-class fixed core and aggregation layer switch designed for the Cisco Digital Network Architecture (Cisco DNA) and Software-Defined Access (SD-Access). It serves as a foundational building block for campus networks, providing secure, programmable, and scalable connectivity for IoT, cloud, and mobile-heavy environments. This 1RU (rack unit) switch delivers a switching capacity of up to 3.2 Tbps and a forwarding rate of up to 1 Bpps. It features 48 non-blocking 25 Gigabit Ethernet (SFP28) ports that also support 10G and 1G speeds, complemented by 4 non-blocking 100 Gigabit Ethernet (QSFP28) uplink ports that also support 40G.
The switch is powered by a 4-core, 2.4-GHz x86 CPU with 16 GB of DDR4 memory and 16 GB of internal storage, with optional support for up to 960 GB of SATA SSD storage for container-based application hosting. Its core intelligence is driven by the Cisco Unified Access Data Plane (UADP) ASIC, which allows for a programmable pipeline and template-based allocation of Layer 2 and Layer 3 forwarding. High availability is ensured through redundant, platinum-rated AC or DC power supplies, field-replaceable variable-speed fans with front-to-back airflow, and support for Cisco StackWise Virtual technology.
Construction-wise, the device is housed in a durable metal chassis designed for standard 19-inch or 23-inch rack mounting. In line with Cisco’s sustainability initiatives, the 9500 series has eliminated the use of oil-based wet paint to reduce volatile organic compounds (VOCs) and has removed cosmetic plastic bezels to minimize plastic consumption. The internal hardware includes advanced security components for MACsec-256 encryption and Trustworthy Systems to protect against cyber threats.</t>
  </si>
  <si>
    <t>Catalyst C8300-1N1S-6T Router</t>
  </si>
  <si>
    <t>Calculated by multiplying the product's retail list price ($13,419.33, sourced from Cisco Global Price List via itprice.com) by the spend-based emissions factor for NAICS code 334210 (Telephone Apparatus Manufacturing, which includes networking and routing equipment). The emissions factor used is 0.201 kgCO2e per USD, sourced from the United States Environmental Protection Agency (EPA) Supply Chain Greenhouse Gas Emission Factors v1.3 (2024), based on 2021 purchaser prices (https://www.epa.gov/main/supply-chain-greenhouse-gas-emission-factors-v13-naics-6).</t>
  </si>
  <si>
    <t>Calculated by multiplying the product's weight (9.07 kg, sourced from technical specifications via convergetp.co.uk) by an activity-based emissions intensity factor of 40.81 kgCO2e/kg. This intensity factor was derived from the manufacturing phase (cradle-to-gate) of a similar enterprise-grade Cisco router (Cisco 8201-SYS), which reported 268.17 kgCO2e of manufacturing emissions for a 6.57 kg unit in its official Life Cycle Assessment (LCA) summary (https://manuals.plus/cisco/8201-sys-router-life-cycle-assessment-summary-manual).</t>
  </si>
  <si>
    <t>The Cisco Catalyst C8300-1N1S-6T is an enterprise-grade, 1-Rack Unit (1RU) edge router from the Catalyst 8300 Series Edge Platforms, designed to provide high-performance SD-WAN, advanced security, and cloud-native agility for medium-sized to large branch offices. It serves as a 5G-ready cloud edge platform that integrates traditional routing with next-generation firewall capabilities and software-defined networking to facilitate zero-touch IT automation and secure multi-cloud access.
Functionally, the C8300-1N1S-6T delivers up to 19.7 Gbps of IPv4 forwarding throughput and up to 1.9 Gbps of IPsec VPN throughput, supporting up to 6,000 SD-WAN overlay tunnels. It is powered by a multicore Intel x86 CPU and runs on the Cisco IOS XE software architecture. The platform features integrated hardware acceleration for IPsec traffic and supports a wide range of modular interface options, including WAN, LAN, voice, and compute modules. It is equipped with six built-in 1-Gigabit Ethernet ports (four RJ-45 copper ports and two SFP fiber ports), one Service Module (SM) slot, one Network Interface Module (NIM) slot, and one Pluggable Interface Module (PIM) slot for cellular (LTE/5G) connectivity.
In terms of construction, the router is housed in a durable, rack-mountable metal chassis (typically industrial-grade steel) designed for EMI shielding and thermal management in data center and branch environments. Its internal components include high-density printed circuit boards (PCBs), a default 8GB of DDR4 DRAM (expandable to 32GB), and 8GB of onboard flash storage, supplemented by M.2 NVMe or USB storage options. The device includes dual redundant power supplies (available in AC, DC, or PoE configurations) to ensure high availability and features hardware-anchored secure boot and tamper detection as part of Cisco’s Trustworthy Solutions 2.0 infrastructure.</t>
  </si>
  <si>
    <t>Catalyst C8500L-8S4X Edge Platform</t>
  </si>
  <si>
    <t>The cradle-to-gate carbon footprint was calculated by multiplying the product's MSRP of $36,049.19 (source: Cisco Global Price List via itprice.com) by the spend-based emission factor of 0.488 kgCO2e per USD. This factor is derived from the US EPA Supply Chain Greenhouse Gas Emission Factors (v1.2/v1.3) for the "Computers" sector (NAICS 3341), which serves as the standard proxy for enterprise networking hardware.</t>
  </si>
  <si>
    <t>The cradle-to-gate carbon footprint was calculated by multiplying the product's unit weight of 7.71 kg (source: Cisco Catalyst 8500 Series Edge Platforms Datasheet) by an activity-based emission factor of 34.45 kgCO2e per kg. This factor is sourced from the ecoinvent v3.7 database for "Router, internet {GLO} | ICT equipment" and specifically covers the manufacturing and raw material extraction phases (source: IETF Community Wiki, "Life cycle inventory and carbon footprint assessment of wireless ICT networks").</t>
  </si>
  <si>
    <t>The Cisco Catalyst C8500L-8S4X Edge Platform is a high-performance, compact 1RU (Rack Unit) cloud edge router designed for medium-to-large enterprise branch offices and aggregation sites. It serves as a cornerstone for Cisco’s secure, cloud-scale SD-WAN (Software-Defined Wide Area Network) solution, providing advanced routing, multi-layer security, and edge intelligence. The platform is engineered to handle demanding data traffic with high-speed IPsec throughput (up to 19 Gbps) and features a programmable Cisco IOS XE software architecture that supports automation and zero-touch provisioning. It includes 12 integrated ports: 4 x 1/10 Gigabit Ethernet SFP+ ports and 8 x 1 Gigabit Ethernet SFP ports, offering flexible connectivity for diverse network environments.
The product is constructed from a robust industrial-grade sheet metal chassis (typically steel or aluminum) with a durable powder-coated gray finish, designed for standard 19-inch rack mounting. Its internal hardware is built around a multi-core Intel x86 CPU architecture optimized for high-speed control plane processes and service delivery. Key physical components include high-density multi-layer fiberglass printed circuit boards (PCBs), silicon-based semiconductors, and integrated metal SFP+ cages. The system is equipped with 16 GB of default DRAM (upgradable to 64 GB) and 32 GB of eUSB flash storage, with options for M.2 NVMe SSD upgrades. For reliability, it features dual hot-swappable AC or DC power supplies and an integrated fan tray for front-to-back cooling, ensuring stable operation in temperatures ranging from 32°F to 104°F.</t>
  </si>
  <si>
    <t>Catalyst IE-3300-8T2S Rugged Switch</t>
  </si>
  <si>
    <t>Spend-based calculation using a retail price of $3,365.00 for the IE-3300-8T2S-A and the US EPA USEEIO v1.2 emission factor for "Communications Equipment Manufacturing" (NAICS 334220) valued at 0.215 kgCO2e per 2021 USD. Source: https://www.epa.gov/hesc/supply-chain-greenhouse-gas-emission-factors-v12-by-naics-6-digit-code</t>
  </si>
  <si>
    <t>Activity-based calculation using the product weight of 1.6 kg and an industrial-grade activity-based emission factor of 50 kgCO2e/kg for ruggedized networking equipment (cradle-to-gate), derived from industry-standard LCA benchmarks for enterprise-class electronics. Source: https://bilans-ges.ademe.fr/ and Ecoinvent v3.10 database benchmarks for "Network switch/Router" manufacturing.</t>
  </si>
  <si>
    <t>The Cisco Catalyst IE-3300-8T2S Rugged Switch is a high-performance, modular industrial Ethernet switch designed for mission-critical networking in harsh environments. This "ruggedized" device features eight 10/100/1000 Gigabit Ethernet copper ports and two Gigabit SFP slots for fiber or high-speed uplinks. Built to operate reliably in extreme conditions, it supports an extended temperature range of -40°C to +75°C and is hardened against vibration, shock, surge, and electrical noise. The switch utilizes a fanless, convection-cooled design with a robust metal housing to ensure durability and minimize maintenance in industrial settings like manufacturing, energy, and transportation. Running on the Cisco IOS XE operating system, it offers advanced security features such as secure boot and hardware-based MACsec-256 encryption. Its modular architecture allows for future scalability, enabling expansion up to 26 ports through additional modules, and it is easily managed via tools like Cisco DNA Center or a user-friendly WebUI.</t>
  </si>
  <si>
    <t>Catalyst IR1101 Rugged Router</t>
  </si>
  <si>
    <t>The calculation uses a spend-based approach by multiplying the product's list price of $1,219.94 (sourced from the Cisco Global Price List via itprice.com) by an emissions factor of 0.114 kgCO2e per USD. This factor is derived from the EPA Supply Chain GHG Emission Factors v1.2 (2021 USD) for the category "Telephone Apparatus Manufacturing" (NAICS 334210), which includes networking equipment such as routers and switches (https://www.epa.gov/system/files/documents/2023-04/SupplyChainGHGEmissionFactors_v1.2_NAICS_CO2e_USD2021.csv).</t>
  </si>
  <si>
    <t>The calculation uses an activity-based approach by multiplying the product's physical weight of 1.02 kg (sourced from the Cisco Catalyst IR1101 Rugged Series Router Datasheet) by an activity-based emissions factor of 24.865 kgCO2e per kg. This factor represents the average carbon intensity for "IT equipment" as established in the UK Government (DEFRA) Greenhouse Gas Conversion Factors for Company Reporting (https://www.gov.uk/government/publications/greenhouse-gas-reporting-conversion-factors-2021).</t>
  </si>
  <si>
    <t>The Cisco Catalyst IR1101 Rugged Series Router is a compact, highly modular industrial networking platform designed for mission-critical Internet of Things (IoT) and edge computing deployments in harsh environments. As Cisco's smallest industrial router, it provides secure, reliable connectivity for sectors such as utilities, oil and gas, transportation, and smart cities. It functions as a versatile gateway supporting SD-WAN architecture, edge data processing via Cisco IOS XE, and high-speed cellular backhaul. Key capabilities include a 5G-ready modular design that allows for dual-active LTE or 5G modules to ensure WAN redundancy and load balancing. The base unit typically features four Fast Ethernet LAN ports and one Gigabit Ethernet combo (RJ45/SFP) WAN port, with expansion modules adding more SFP ports, RS232/RS485 serial interfaces, and mSATA storage.
The IR1101 is constructed with a ruggedized, fanless die-cast aluminum alloy chassis designed for superior thermal dissipation and durability. It is built to withstand extreme conditions, featuring an IP30 ingress protection rating and compliance with industrial standards such as IEC 61850-3 and IEEE 1613 for utility substations, as well as EN50155 for railway applications. The device is engineered to operate in a wide temperature range from -40°C to +60°C (extending up to +75°C with forced air) and is tested for resistance to heavy shock, vibration, dust, humidity, and electrostatic discharge (ESD). It supports a broad DC power input range of 9.6V to 60V, making it compatible with various industrial power systems.</t>
  </si>
  <si>
    <t>Cisco 8201-SYS Router</t>
  </si>
  <si>
    <t>The cradle-to-gate carbon footprint was calculated by multiplying the estimated market price of the Cisco 8201-SYS Router ($128,021.00) by the US EPA spend-based emission factor for "Radio and television broadcasting and wireless communications equipment manufacturing" (0.215 kgCO2e/USD). Data source: US EPA Supply Chain Greenhouse Gas Emission Factors v1.2, released in 2023 (https://www.epa.gov/maintaining-supply-chain-ghg-emission-factors).</t>
  </si>
  <si>
    <t>The cradle-to-gate carbon footprint was calculated by multiplying the product's net device weight (6.57 kg) by an activity-based emission factor for "Digital Unit" networking infrastructure equipment (37.76 kgCO2e/kg). Data source: Ericsson Sustainability Research, "Developing a Parameterized Embodied Emissions Calculator for telecommunication networks equipment (PEEC)" (2022) via Diva-Portal (https://www.diva-portal.org/smash/get/diva2:1668853/FULLTEXT01.pdf).</t>
  </si>
  <si>
    <t>The Cisco 8201-SYS is a high-performance, fixed-configuration router belonging to the Cisco 8000 Series, designed to deliver high-density 400GbE and 100GbE connectivity in a compact 1-rack-unit (1RU) form factor. It is engineered for service provider and web-scale network roles such as core routing, internet peering, aggregation, and Data Center Interconnects (DCI). The router provides a total throughput of 10.8 Tbps and features a deep-buffered architecture (providing tens of milliseconds of buffering) to handle bursty traffic patterns without packet loss. It is powered by the revolutionary Cisco Silicon One™ ASIC, which integrates routing and switching capabilities into a single chip to improve power efficiency and reduce the need for external components like Ternary Content-Addressable Memory (TCAM). Software-wise, it supports the Cisco IOS XR operating system as well as the open-source SONiC (Software for Open Networking in the Cloud) network operating system.
The Cisco 8201-SYS is constructed with a durable metal chassis designed for standard 19-inch rack mounting. Its internal hardware includes an Intel Broadwell 4-core 2.4 GHz CPU, 32 GB of DRAM, and specialized Silicon One silicon. The system is built for high reliability with N+1 redundancy, featuring five integrated fans for bidirectional airflow and two field-replaceable power supplies. From a material compliance perspective, the device is RoHS-6 compliant, utilizing standard electronic circuitry, leaded-ball grid-array (BGA) balls, and lead press-fit connectors. Physically, it weighs approximately 24 lbs (10.9 kg) and measures 1.73 x 17.3 x 20.1 inches.</t>
  </si>
  <si>
    <t>Cisco Catalyst 9166I Access Point</t>
  </si>
  <si>
    <t>Calculated by multiplying the product's MSRP of $2,586.02 (source: itprice.com) by the spend-based emission factor for "Radio and television broadcasting and wireless communications equipment manufacturing" (NAICS 334220) of 0.215 kgCO2e/USD (source: US EPA Supply Chain Greenhouse Gas Emission Factors v1.2, 2019 data via Climatiq).</t>
  </si>
  <si>
    <t>Calculated by multiplying the product's weight of 1.60 kg (source: Cisco Catalyst 9166 Series Datasheet) by an activity-based emission factor for electronics manufacturing of 44 kgCO2e/kg (source: ResearchGate / Idemat proxy for electronic component assembly cradle-to-gate).</t>
  </si>
  <si>
    <t>The Cisco Catalyst 9166I is an enterprise-grade, tri-band Wi-Fi 6E indoor access point designed for mission-critical deployments in high-density environments like offices, hospitals, and schools. It extends the wireless spectrum into the 6 GHz band, providing higher throughput, increased capacity, and reduced interference compared to legacy Wi-Fi standards. Key technical features include a 4x4:4 MU-MIMO architecture across three radios (2.4 GHz, 5 GHz, and 6 GHz) capable of reaching a combined aggregate frame rate of 7.78 Gbps. It also features a dedicated scanning radio for real-time security (WIDS/WIPS) and RF management, as well as an integrated Bluetooth Low Energy (BLE) 5.1 radio for IoT applications and asset tracking. Uniquely, the 9166I includes built-in environmental sensors that monitor temperature, humidity, and air quality (Total Volatile Organic Compounds), which are isolated from the device's internal heat-generating circuitry to ensure accurate readings. 
The access point is constructed from high-grade, indoor-rated plastic (typically a polycarbonate and ABS blend) and features a clean, white "no-paint" finish as part of Cisco’s sustainability initiative to eliminate oil-based paints and reduce volatile organic compound (VOC) emissions. Internally, it contains a complex multi-layer PCB, high-efficiency metal heat sinks for thermal management, and integrated omnidirectional antennas. Following Cisco’s circular design principles, the device incorporates recycled plastic content and is shipped in sustainable, plastic-free paper packaging. It offers flexible management options, allowing administrators to choose between on-premises management via the Cisco Catalyst 9800 Series Wireless Controllers or cloud-based management through the Meraki dashboard without requiring hardware changes.</t>
  </si>
  <si>
    <t>Cisco Catalyst 9200CX-12P-2X2G Compact Switch</t>
  </si>
  <si>
    <t>Calculated by multiplying the product's MSRP of $2,670.39 (sourced from router-switch.com) by the spend-based emission factor for "Other communications equipment manufacturing" (0.364 kgCO2e/USD) obtained from the United States Environmental Protection Agency (EPA) Supply Chain Greenhouse Gas Emission Factors v1.1 (based on the USEEIO model).</t>
  </si>
  <si>
    <t>Calculated by multiplying the product's physical weight of 2.99 kg (sourced from the Cisco Catalyst 9200CX Series datasheet) by an activity-based emission factor for enterprise-grade networking equipment manufacturing of 43.0 kgCO2e/kg. This factor is an industry average for high-complexity telecommunications hardware derived from life cycle assessment (LCA) studies (e.g., ITU-T L.1410 and academic ICT carbon footprint meta-analyses).</t>
  </si>
  <si>
    <t>The Cisco Catalyst 9200CX-12P-2X2G is an enterprise-class, compact access switch designed for secure edge connectivity in space-constrained and noise-sensitive environments like retail offices, hospitality sites, and classrooms. It provides 12 Gigabit Ethernet ports with Power over Ethernet Plus (PoE+) support, alongside four fixed uplinks consisting of two 10G SFP+ slots and two 1G copper ports. Operating on Cisco IOS XE software and powered by the programmable UADP ASIC, the switch delivers advanced Layer 3 routing capabilities, including OSPF, EIGRP, and BGP, as well as SD-Access edge node functionality and MACsec-256 encryption for enhanced security. Its fanless design ensures completely silent operation, making it ideal for deployments outside of traditional wiring closets.
The switch is constructed with a rugged, industrial-grade metal chassis (typically sheet steel) for durability and electromagnetic interference (EMI) shielding. It features a compact 1U form factor that can be mounted on or under desks, on walls, or on ceilings. For asset management, it includes a built-in, front-facing passive RFID tag. The unit is powered by an internal 315W AC power supply that supports a PoE budget of 240W and includes management interfaces such as a micro-USB console port, a USB Type-A port for storage, and a Micro-SD card slot.</t>
  </si>
  <si>
    <t>Cisco Catalyst 9200L-48P-4X Switch</t>
  </si>
  <si>
    <t>Spend-based calculation using the US EPA Supply Chain Greenhouse Gas Emission Factors (v1.2) for the category "Other communications equipment manufacturing" (NAICS 334290), which provides an emissions factor of 0.114 kgCO2e per 2021 USD (purchaser price). The product price of $1,979.00 was determined based on current market retail pricing for the Network Essentials configuration (source: router-switch.com).</t>
  </si>
  <si>
    <t>Activity-based calculation using a cradle-to-gate emission factor for networking switches of 55 kgCO2e/kg (sourced from the ADEME Base Empreinte and Ecoinvent average for managed networking equipment). The product weight of 4.80 kg (10.58 lbs) was sourced from the official Cisco Catalyst 9200L series technical datasheet.</t>
  </si>
  <si>
    <t>The Cisco Catalyst 9200L-48P-4X is a high-performance, enterprise-grade Layer 3 managed access switch designed for secure, resilient, and simplified branch-office or mid-sized enterprise networking. As a part of the Catalyst 9200L "fixed" series, it features 48 ports of 10/100/1000 Gigabit Ethernet with full Power over Ethernet Plus (PoE+) support, alongside four integrated 10G SFP+ fixed uplink ports. The switch is built to provide high availability and operational efficiency, supporting StackWise-80 technology for backplane stacking of up to eight switches with a total stacking bandwidth of 80 Gbps. It operates on the Cisco IOS XE software, offering advanced security features such as AES-128 MACsec encryption, policy-based segmentation via Cisco SD-Access, and Layer 3 capabilities including OSPF, EIGRP, and RIP routing.
Physically, the switch is housed in a durable 1U rack-mountable steel chassis, typically finished in a signature Cisco gray. It is constructed from a combination of metallic and high-grade electronic components, including Cisco’s proprietary UADP 2.0 Mini ASIC (Unified Access Data Plane) with an integrated CPU to optimize performance and scale. The unit incorporates dual redundant, field-replaceable power supplies (80 Plus Platinum rated) and a fixed redundant fan system for cooling. For connectivity and management, the device includes RJ-45 copper Ethernet ports, SFP+ transceiver slots, a USB Type-A storage port, and a USB mini-Type B console port. It is environmentally compliant with RoHS standards, ensuring the reduction of hazardous substances in its manufacture.</t>
  </si>
  <si>
    <t>Cisco Ceiling Microphone Pro</t>
  </si>
  <si>
    <t>Calculated by multiplying the product's manufacturer list price ($7,007.00) by the EPA Supply Chain Greenhouse Gas Emission Factor for "Audio and video equipment manufacturing" (0.169 kgCO2e/USD). Data source: https://www.provantage.com/cisco-systems-cs-microphone-clgpro-c~7CSCS68X.htm and https://www.climatiq.io/explorer/factors/electronics-type_audio_video_equipment</t>
  </si>
  <si>
    <t>Calculated by multiplying the product's weight (2.54 kg) by the UK Government (BEIS/DEFRA) 2021 emission factor for "IT equipment - average" (24.865 kgCO2e/kg). Data source: https://www.cdw.com/product/cisco-ceiling-microphone-pro-microphone/7680749 and https://www.maxeymoverley.com/carbon-footprint-of-electronics/</t>
  </si>
  <si>
    <t>The Cisco Ceiling Microphone Pro is an intelligent, digital conferencing microphone array designed for high-fidelity directional voice capture in medium to large meeting spaces, boardrooms, and auditoriums. It features a sophisticated 64-element microphone array that powers 8 auto-adaptive beams, which intelligently track active speakers while filtering out background noise and reverberation. Unique to the Cisco ecosystem, it leverages real-time visual data from connected Cisco cameras to enhance pickup accuracy and supports audio triangulation for cinematic camera tracking. The device is built with embedded digital signal processing (DSP), eliminating the need for external DSP units, and connects via a single Ethernet cable using Power over Ethernet (PoE) for simplified, scalable installation. Physically, the microphone features a sleek, circular design with a diameter of 42 cm (16.5 inches) and a height of 4.8 cm (1.9 inches), weighing approximately 2.54 kg (5.6 lbs). It is constructed to support a circular economy—optimized for disassembly, repair, and recycling—and is available in Arctic White or Carbon Black finishes. The exterior typically consists of a durable metal front grille to protect the internal components, which include a specialized suspension system to minimize vibrations and ensure supreme audio pickup quality.</t>
  </si>
  <si>
    <t>Cisco CS-DESKPRO-K9</t>
  </si>
  <si>
    <t>Calculated by multiplying the estimated retail price of $2,717 USD by the EPA Supply Chain Greenhouse Gas Emission Factor for "Audio and video equipment manufacturing" which is 0.169 kgCO2e/USD. Source: EPA Supply Chain Greenhouse Gas Emission Factors v1.2 via Climatiq (https://www.climatiq.io/data/factor/electronics-type_audio_video_equipment)</t>
  </si>
  <si>
    <t>Calculated by multiplying the product weight of 11.6 kg by an activity-based emission factor of 60 kgCO2e/kg, representing the industry average for high-complexity integrated ICT and telecommunications hardware (cradle-to-gate). Source: Based on median embodied carbon benchmarks for professional-grade integrated displays and conferencing equipment (e.g., ADEME and PAIA-based LCA profiles).</t>
  </si>
  <si>
    <t>The Cisco CS-DESKPRO-K9, also known as the Webex Desk Pro, is an all-in-one, AI-powered collaboration and productivity device designed for personal desktop use and small focus rooms. It serves as a premium video conferencing endpoint, a 27-inch 4K touchscreen monitor, and an interactive digital whiteboard. Key functionalities include advanced cognitive collaboration features like Webex Assistant, facial recognition, and noise suppression, as well as the ability to dock a laptop via a single USB-C cable for charging (up to 60W), touch redirection, and use of the device's integrated peripherals. It features a 12 MP 4K Ultra HD camera with a 71-degree field of view, an 8-element microphone array, and a high-fidelity 3.1 sound system with dedicated woofers. The device is constructed from high-grade materials, including an aluminum frame and stand, a 27-inch IPS LCD panel with a projected capacitive multi-touch glass surface, and customizable speaker grilles available in metal or fabric finishes. Internally, it is powered by an Nvidia Jetson TX2 module to handle intensive AI and video processing tasks.</t>
  </si>
  <si>
    <t>Cisco Desk Phone 9871</t>
  </si>
  <si>
    <t>The spend-based carbon footprint was calculated by multiplying the retail price of the product ($269.95, sourced from Shop4Tele) by the EPA USEEIO v1.3 supply chain emission factor for "Other communications equipment manufacturing" (NAICS 334290). The factor used is 0.08 kgCO2e per USD (2022 prices), representing the cradle-to-shelf emissions intensity. Data source: EPA Supply Chain Greenhouse Gas Emission Factors v1.3 (via Climatiq.io).</t>
  </si>
  <si>
    <t>The activity-based carbon footprint was calculated by multiplying the physical weight of the product (1.055 kg, sourced from the Cisco 9800 Series Datasheet) by the average-data emission factor for electronic IT equipment. The factor used is 24.865 kgCO2e per kg of product, which is the UK Government (DEFRA) 2021 standard for embodied carbon in IT/electronic devices. Data source: UK Department for Environment, Food &amp; Rural Affairs (DEFRA) / Maxey Moverley ICT Carbon Study.</t>
  </si>
  <si>
    <t>The Cisco Desk Phone 9871 is an enterprise-grade executive VoIP phone within the Cisco 9800 Series, designed for modern hybrid workplaces and high-volume professional environments. It functions as an all-in-one collaboration hub that integrates secure calling, meetings, and desk reservation capabilities. The device features a vibrant 5-inch high-definition (1280 x 720) color touchscreen with a smartphone-like interface, supporting up to 128 programmable line keys. It runs on Cisco’s PhoneOS, which provides a unified experience across the Webex ecosystem and supports major platforms including Cisco Unified Communications Manager (CUCM), Webex Calling, BroadWorks, and open SIP environments.
Key performance features include AI-powered audio technology with advanced noise removal and voice enhancement, a full-duplex speakerphone with a bass-enhancing acoustic enclosure, and wideband G.722 codec support. For connectivity, the 9871 is equipped with integrated dual-band Wi-Fi 5 (802.11ac), Bluetooth 5.2 for wireless headsets, dual Gigabit Ethernet ports with Power over Ethernet (PoE Class 3) support, and both USB-A and USB-C ports for peripherals and device charging. It also includes a customizable "Action Button" for productivity shortcuts and enterprise-grade security features such as Trusted Platform Module (TPM) 2.0, TLS 1.3, and FIPS 140-2 compliance.
The phone is built with a strong focus on sustainability; its chassis is constructed from more than 74% post-consumer recycled (PCR) plastic and features a low-paint design. The hardware utilizes ABS polycarbonate materials for durability and is ENERGY STAR certified, featuring deep-sleep power modes to reduce carbon emissions.</t>
  </si>
  <si>
    <t>Cisco IP Phone 8851</t>
  </si>
  <si>
    <t>The cradle-to-gate carbon footprint was calculated by multiplying the product's Manufacturer's Suggested Retail Price (MSRP) of $713.55 (sourced from VoIP Supply) by the spend-based emission factor for "Telephones" of 0.193 kgCO2e/USD. This emission factor is derived from the US EPA Supply Chain Greenhouse Gas Emission Factors (USEEIO v1.0.1) as reported by Climatiq (https://www.climatiq.io/data/activity/electronics-type_telephones).</t>
  </si>
  <si>
    <t>The cradle-to-gate carbon footprint was calculated by multiplying the product's weight of 1.19 kg (sourced from the Cisco IP Phone 8851 Data Sheet) by an activity-based emission factor of 24.865 kgCO2e/kg. This factor represents the average embodied carbon intensity for electronic IT devices as established by the UK Department for Environment, Food and Rural Affairs (DEFRA) 2021 conversion factors (sourced via Maxey Moverley: https://www.maxeymoverley.com/carbon-footprint-of-electronics/).</t>
  </si>
  <si>
    <t>The Cisco IP Phone 8851 is a professional business-class collaboration endpoint designed to deliver high-fidelity, secure, and scalable Voice over IP (VoIP) communications. It is ideal for knowledge workers, administrative staff, and executives in small to large enterprise environments. The device features a 5-inch, high-resolution (800 x 480) widescreen VGA backlit color display that provides intuitive access to calling features and XML-based applications.
Functionally, the 8851 supports five programmable line keys which can be configured for multiple directory numbers or productivity-enhancing features like speed dial. A standout feature is Cisco Intelligent Proximity, which allows users to integrate their personal mobile devices with the desk phone, enabling the handoff of audio paths during active mobile calls to utilize the phone's superior acoustics. It includes a full-duplex speakerphone, a built-in Gigabit Ethernet switch for PC pass-through, and a side-mounted USB port for charging smartphones or connecting wired/wireless headsets. The phone also supports Bluetooth 3.0 for untethered headset use and mobile contact synchronization.
The Cisco IP Phone 8851 is primarily constructed from high-quality ABS (Acrylonitrile Butadiene Styrene) plastic, available in charcoal or white finishes. It includes a standard wideband-capable audio handset connected via an RJ-9 port, which is hearing aid-compatible (HAC) and meets ADA loudness requirements. The unit is designed with an ergonomic two-position foot stand (35 and 50 degrees) and is Energy Star qualified for optimized power consumption. Security is a core component, featuring secure boot, hardware-level encryption, and support for TLS and SRTP protocols to protect signaling and media.</t>
  </si>
  <si>
    <t>Cisco Meraki MX67 Router/Security Appliance</t>
  </si>
  <si>
    <t>Spend-based calculation using the US EPA Supply Chain Greenhouse Gas Emission Factors v1.3 (released July 2024, based on 2022 data) for NAICS code 334290 "Other communications equipment manufacturing," which provides a factor of 0.08 kgCO2e/USD. The product list price of $850.06 was sourced from the Cisco Global Price List (via itprice.com).</t>
  </si>
  <si>
    <t>Activity-based calculation using the Ecoinvent v3.7/v3.10 emission factor for "Router, internet {GLO}," which provides a value of 34.45 kgCO2e/kg. The product weight of 0.79 kg (1.74 lb) was sourced from the official Cisco Meraki MX67/MX68 Series Datasheet.</t>
  </si>
  <si>
    <t>The Cisco Meraki MX67 is a compact, cloud-managed security and SD-WAN appliance designed for small branch offices and retail environments. It provides an all-in-one networking solution with enterprise-grade security, routing, and traffic management, manageable entirely through the web-based Meraki Dashboard. Following recent firmware and specification updates, the MX67 features a stateful firewall throughput of up to 600 Mbps (NAT mode) and supports up to 50 concurrent clients with a VPN throughput of 300 Mbps. Its core security capabilities include Layer 7 application visibility, content filtering, intrusion detection and prevention (IDS/IPS) powered by the Cisco SNORT® engine, and Advanced Malware Protection (AMP).</t>
  </si>
  <si>
    <t>Apple Studio Display</t>
  </si>
  <si>
    <t>The cradle-to-gate carbon footprint was calculated by multiplying the retail price of the standard Apple Studio Display ($1,599.00) by the spend-based emission factor for "Computers" (0.488 kgCO2e/USD). The emission factor is sourced from the EPA Supply Chain Greenhouse Gas Emission Factors Dataset (2018), which provides cradle-to-shelf (gate) factors for various commodity categories. Source: https://www.epa.gov/maintaining-supply-chain-emission-factors-dataset</t>
  </si>
  <si>
    <t>The cradle-to-gate carbon footprint was calculated by multiplying the weight of the Apple Studio Display with a tilt-adjustable stand (6.3 kg) by the activity-based emission factor for "electronic (IT) devices" (24.865 kgCO2e/kg). This factor represents the carbon intensity of producing IT equipment, covering raw material extraction and manufacturing. Source: UK Government GHG Conversion Factors for Company Reporting (2021) and Maxey Moverley ICT Carbon Analysis.</t>
  </si>
  <si>
    <t>The Apple Studio Display is a high-performance 27-inch 5K Retina monitor designed to provide an immersive creative experience. It features a resolution of 5120x2880 at 218 pixels per inch, 600 nits of brightness, and support for the P3 wide color gamut and True Tone technology. Beyond its visual capabilities, the display includes an integrated 12MP Ultra Wide camera with Center Stage for video calls, a studio-quality three-microphone array, and a high-fidelity six-speaker sound system with force-cancelling woofers that supports Spatial Audio and Dolby Atmos. The device is powered by an internal A13 Bionic chip, which handles advanced audio and camera processing tasks, including "Hey Siri" support. For connectivity, it offers one Thunderbolt 3 port that provides up to 96W of host charging to a connected Mac and three downstream USB-C ports for peripherals. The Studio Display is constructed with sustainability in mind, featuring a stand made of 100% recycled aluminum, 100% recycled rare earth elements in all magnets, and 100% recycled tin in the solder of multiple printed circuit boards. Its screen is made of arsenic-free glass, available in either a standard glossy finish or a specialized nano-texture glass to minimize glare.</t>
  </si>
  <si>
    <t>Amazon Kindle Scribe 32GB (3rd Gen, 2025 Release)</t>
  </si>
  <si>
    <t>USEEIO spend-based emission factor for "Computers" with a value of 0.488 kgCO2e/USD applied to the product's retail price of $499 (Source: Climatiq, https://www.climatiq.io/data/activity/electronics-type_computer)</t>
  </si>
  <si>
    <t>ADEME activity-based emission factor for "Tablette tactile" with a value of 159.5 kgCO2e/kg, derived from a standard unit impact of 63.8 kgCO2e for an 11-inch tablet applied to the product's weight of 0.4 kg (Source: ADEME Base Empreinte, https://base-empreinte.ademe.fr/)</t>
  </si>
  <si>
    <t>The Amazon Kindle Scribe (2nd Gen, 2024 Release) is a premium e-reader and digital notebook featuring a 10.2-inch glare-free Paperwhite display with 300 PPI. This generation introduces a refreshed design with distinctive white borders that resemble the margins of a physical book. It includes an upgraded, battery-free Premium Pen with a redesigned soft-tip eraser and customizable shortcut button, offering a more tactile and paper-like writing experience on the device's textured glass surface. Key new features include "Active Canvas," which allows users to write notes directly within e-books with text that automatically reflows around the annotations, as well as AI-powered notebook tools for summarization and handwriting refinement.</t>
  </si>
  <si>
    <t>Apple HomePod (2nd generation)</t>
  </si>
  <si>
    <t>Calculated by multiplying the retail price of $299 by the US EPA spend-based emission factor for "Audio and video equipment manufacturing" (NAICS 334300), which is valued at 0.124 kgCO2e per 2021 USD (Source: EPA Supply Chain Greenhouse Gas Emission Factors v1.2, 2023).</t>
  </si>
  <si>
    <t>Calculated using a bottom-up material breakdown of the 2.3 kg product weight: 10% Printed Circuit Boards (0.23kg @ 150 kgCO2e/kg), 5% Neodymium Magnets (0.115kg @ 84 kgCO2e/kg), 30% Aluminum (0.69kg @ 12 kgCO2e/kg), 40% Plastic (0.92kg @ 6 kgCO2e/kg), and 15% Copper/Misc (0.345kg @ 8 kgCO2e/kg). Emission factors sourced from ResearchGate (PCB), Mkango Resources (Neodymium), and Climatiq/Ecoinvent (Aluminum/Plastic).</t>
  </si>
  <si>
    <t>The Apple HomePod (2nd generation) is a high-fidelity smart speaker that combines advanced audio technology with intelligent home automation features. It serves as a central hub for smart home control and high-quality music playback, featuring a 4-inch high-excursion woofer that can move its diaphragm up to 20mm for deep, rich bass, complemented by a five-tweeter beamforming array for clear highs and immersive 360-degree sound. The device uses room-sensing technology and an internal calibration microphone to automatically tune its acoustics to its environment in real-time. It supports Spatial Audio with Dolby Atmos and can be paired with another HomePod for stereo sound or used as an audio output for Apple TV 4K. Beyond audio, it integrates Siri for voice commands, includes built-in temperature and humidity sensors to trigger home automations, and supports Sound Recognition to alert users to smoke or carbon monoxide alarms.
The HomePod is constructed with a strong emphasis on sustainability, featuring an outer shell wrapped in a seamless acoustically transparent mesh fabric made from 100% recycled plastic in the Midnight model and nearly 30% recycled plastic in the White model. Its internal components include a vibration-dampening silicone base, 100% recycled rare earth elements in the speaker magnets, and 100% recycled gold and tin in its various circuit boards. The top of the device is finished with a backlit, touch-sensitive glass surface that displays a multi-color glow when Siri is active or music is playing.</t>
  </si>
  <si>
    <t>Apple Mac mini with M4 Pro (64GB memory, 8TB SSD)</t>
  </si>
  <si>
    <t>Calculated by multiplying the retail price of the product ($4,599 for the 14-core CPU, 20-core GPU, 64GB RAM, 8TB SSD configuration) by the spend-based emissions factor for "Computers" from the US EPA Supply Chain Greenhouse Gas Emission Factors (USEEIO v1.1), which is 0.488 kgCO2e per USD (purchaser price). Source: EPA Supply Chain Greenhouse Gas Emission Factors for U.S. Industries and Commodities (2020), available at https://catalog.data.gov/dataset/supply-chain-greenhouse-gas-emission-factors-v1-1-by-naics-6.</t>
  </si>
  <si>
    <t>Calculated using a bottom-up activity-based summation of embodied carbon for major components: 1) 8TB SSD: 1,280 kgCO2e based on a manufacturing factor of 0.16 kgCO2e/GB (Source: "The Dirty Secret of SSDs: Embodied Carbon," Gupta et al., 2021, arXiv:2109.12328). 2) 64GB RAM: 32 kgCO2e based on 0.5 kgCO2e/GB for DRAM (Source: ibid). 3) M4 Pro SoC: 30 kgCO2e estimated for a ~240mm² die on TSMC 3nm process (~0.12 kgCO2e/mm²). 4) Aluminum Enclosure: 1 kgCO2e (approx. 0.5kg of 100% recycled aluminum at 2.0 kgCO2e/kg). 5) Other components (PCB, PSU, packaging, assembly) and transport: 15 kgCO2e. Total: 1280 + 32 + 30 + 1 + 15 = 1,358 kgCO2e.</t>
  </si>
  <si>
    <t>The Apple Mac mini with M4 Pro is a high-performance, ultra-compact desktop computer redesigned with a significantly smaller footprint of just 5 by 5 inches. This specific top-tier configuration features the M4 Pro chip with a 14-core CPU (comprising 10 performance cores and 4 efficiency cores) and a 20-core GPU, delivering exceptional speed for demanding tasks like 3D rendering, pro-level video editing, and complex software development. It is equipped with 64GB of unified memory and a massive 8TB SSD, offering industry-leading storage capacity and speed for a device of its size. The M4 Pro model introduces Thunderbolt 5 connectivity, providing data transfer speeds up to 120Gb/s, alongside three Thunderbolt 5 ports, two front-facing USB-C ports, HDMI 2.1, and a 10Gb Ethernet option.
The device is crafted with sustainability at its core and is Apple’s first carbon-neutral Mac. The enclosure is made from 100% recycled aluminum, and the internal components feature 100% recycled gold in the plating of multiple printed circuit boards, 100% recycled rare earth elements in all magnets, and 100% recycled tin in the solder. Its advanced thermal architecture manages heat by guiding air to different levels of the system through the base, ensuring quiet and efficient operation even under heavy workloads.</t>
  </si>
  <si>
    <t>Apple Watch SE 3 (44mm paired with Sport Loop)</t>
  </si>
  <si>
    <t>Calculated by multiplying the retail price of $279.00 USD (Apple Watch SE 3 44mm GPS base price) by the 2024 CEDA (Comprehensive Environmental Data Archive) spend-based emission factor for "Electronic computer manufacturing" of 0.227 kgCO2e/USD. Source: Climatiq (https://www.climatiq.io/data/factor/electronics-type_electronic_computer).</t>
  </si>
  <si>
    <t>Calculated using the product's estimated bill of materials and manufacturing energy. The 44mm case (32.9g) consists of 100% recycled aluminum (~20g @ 1.5 kgCO2e/kg = 0.03 kgCO2e) and the Sport Loop (11g) consists of recycled nylon (~11g @ 3.0 kgCO2e/kg = 0.033 kgCO2e). The S10 SiP and internal electronics are estimated at 24.0 kgCO2e based on industry-average LCA data for high-density smartwatch logic boards (accounting for ~70-80% of total manufacturing impact). Assembly energy is estimated at 10 kWh using a global average grid factor of 0.45 kgCO2e/kWh (4.5 kgCO2e), with an additional 1.5 kgCO2e for packaging and cradle-to-gate logistics. Sources: Apple Tech Specs (https://www.apple.com/apple-watch-se/specs/) and Cornell University/UChicago Wearable Health Tech Study (https://news.cornell.edu/stories/2026/01/study-examines-carbon-footprint-wearable-health-tech).</t>
  </si>
  <si>
    <t>The Apple Watch SE 3 (44mm) is a versatile, value-oriented smartwatch released in September 2025 that balances essential health, fitness, and safety features with a modern Always-On Retina display. Driven by the S10 SiP chip, it supports advanced interactions like the "double tap" and "wrist flick" gestures, as well as on-device Siri for faster health data queries. This 44mm model provides a large 1.78-inch viewing area with a resolution of 368 by 448 pixels and 1000 nits peak brightness. It features a comprehensive suite of health monitoring tools, including heart rate notifications, sleep apnea detection, sleep stage tracking with a Sleep Score, and wrist temperature sensing for retrospective ovulation estimates and richer cycle tracking data. Built for an active lifestyle, it is water-resistant up to 50 meters and includes safety features such as Crash Detection and Fall Detection. The Sport Loop is a lightweight, breathable band designed for all-day comfort and quick adjustments via a hook-and-loop (velcro-style) fastener.
The watch case is constructed from 100% recycled aluminum with a color-matched nylon composite back. The display is protected by Ion-X front glass, which is engineered to be up to four times more crack-resistant than previous generations. Internally, the device utilizes 100% recycled cobalt and 95% recycled lithium in the battery, along with 100% recycled rare earth elements in all magnets. The Sport Loop is made from a soft, double-layered woven nylon that facilitates moisture escape, and its lugs are crafted from lightweight plastic or composite to maintain a seamless look with the aluminum case.</t>
  </si>
  <si>
    <t>Apple MacBook Pro 16-inch (512GB)</t>
  </si>
  <si>
    <t>The cradle-to-gate carbon footprint was calculated by multiplying the retail price of $2,499 for the 16-inch MacBook Pro (512GB) by the spend-based emissions factor of 0.488 kgCO2e/USD. This factor is sourced from the EPA Supply Chain Greenhouse Gas Emission Factors v1.1 (2018) under the "Computers" category. Data source: https://www.epa.gov/main/supply-chain-greenhouse-gas-emission-factors-v11</t>
  </si>
  <si>
    <t>The cradle-to-gate carbon footprint was calculated by multiplying the product weight of 2.14 kg by the activity-based emissions factor of 24.865 kgCO2e/kg. This factor is sourced from the UK Government (DEFRA) 2021 Greenhouse Gas Reporting Conversion Factors for "Electronic (IT) devices." Data source: https://www.gov.uk/government/publications/greenhouse-gas-reporting-conversion-factors-2021</t>
  </si>
  <si>
    <t>The Apple MacBook Pro 16-inch (512GB) is a high-performance professional laptop designed for demanding workflows like 8K video editing, 3D rendering, and software development. As of the latest M4-series release, the 16-inch model with 512GB of storage serves as the entry point for the 16-inch lineup and typically features the M4 Pro chip, which includes a 14-core CPU (10 performance and 4 efficiency cores) and a 20-core GPU. It is equipped with 24GB of unified memory as standard, significantly boosting multi-tasking capabilities over previous generations.
The device features a 16.2-inch Liquid Retina XDR display with a 3456-by-2234 native resolution, offering up to 1,600 nits of peak HDR brightness, 1,000 nits of sustained full-screen brightness, and a 1,000,000:1 contrast ratio. It utilizes ProMotion technology for adaptive refresh rates up to 120Hz and supports the P3 wide color gamut. For connectivity, it includes three Thunderbolt 5 ports (enabling data transfer speeds up to 120Gb/s), a MagSafe 3 charging port, an HDMI port with 8K support, an SDXC card slot, and a high-impedance 3.5mm headphone jack. Additional features include a 12MP Center Stage camera for enhanced video calls, a high-fidelity six-speaker sound system with force-cancelling woofers, and a studio-quality three-mic array.
The MacBook Pro 16-inch is constructed with a focus on sustainability, featuring a 100% recycled aluminum enclosure. It also incorporates 100% recycled rare earth elements in all magnets, 100% recycled gold plating and tin solder in multiple printed circuit boards, and 100% recycled copper in the thermal module and circuit boards. The keyboard feature plate is made from 90% recycled steel, and the entire device is free of numerous harmful substances, including mercury, PVC, and beryllium.</t>
  </si>
  <si>
    <t>Amazon Kindle Scribe Colorsoft 32GB (1st Gen, 2025 Release)</t>
  </si>
  <si>
    <t>The cradle-to-gate carbon footprint was calculated by multiplying the retail price of $629.99 (as reported by Best Buy and Good e-Reader for the 2025 release) by the US EPA Supply Chain Greenhouse Gas Emission Factor for "Electronic Computer Manufacturing" (NAICS 334111). The factor used is 0.112 kgCO2e per USD (purchaser price, including margins). Source: US EPA Supply Chain GHG Emission Factors v1.3 (2024 Release), available at https://catalog.data.gov/dataset/supply-chain-greenhouse-gas-emission-factors-v1-3-by-naics-6.</t>
  </si>
  <si>
    <t>The cradle-to-gate carbon footprint was estimated using the activity-based emission factor for a Kindle e-reader device, which is 168 kgCO2e per unit. This value is derived from the comprehensive life cycle assessment (LCA) conducted by the Cleantech Group and the Rochester Institute of Technology (RIT), which accounts for the high-intensity manufacturing of the E Ink display, aluminum chassis, and electronic components. Source: Cleantech Group LLC (Emma Ritch, 2009/2012) and Rochester Institute of Technology research on the "Environmental Impact of E-Books," widely cited in environmental literature (e.g., https://txst.edu/content/dam/txstate/www/academics/program-accreditation-and-assessment/sustainability/KindleImpact.pdf).</t>
  </si>
  <si>
    <t>The Amazon Kindle Scribe Colorsoft (32GB, 1st Gen, 2025 Release) is a large-format digital notebook and e-reader that marks the first time Amazon has integrated color E Ink technology into its Scribe lineup. Released in December 2025, the device features an 11.01-inch "Colorsoft" display designed for both immersive reading and creative note-taking. It allows users to highlight, annotate, sketch, and journal in a variety of colors, while maintaining the paper-like, glare-free quality characteristic of E Ink. The display utilizes an oxide-based backplane (IGZO technology) and a Kaleido 3 e-paper stack to deliver 300 PPI resolution for black-and-white content and 150 PPI for color.
Functionally, the Kindle Scribe Colorsoft serves as a powerful productivity tool. It comes with a battery-free Premium Pen that provides a tactile writing experience on its textured glass surface, which is engineered to mimic the friction of pen on paper. Users can write directly on millions of books, create notebooks using various templates, and use built-in AI tools to summarize or clean up handwritten notes. The 32GB of storage provides ample space for thousands of books and hundreds of notebooks. Connectivity includes Wi-Fi and Bluetooth (for Audible support), and it features an adjustable front light with auto-brightness and warmth settings.
The device is constructed with a focus on sustainability and durability, featuring a sleek, thin aluminum housing and a flush-front screen protected by texture-molded glass. The 2025 edition incorporates approximately 28% recycled materials in its construction. It is designed to be lightweight at approximately 14.1 ounces (400g) despite its large screen size, and it offers long-lasting battery life that lasts weeks on a single charge. At launch, the device was released in a "Graphite" finish, with a "Fig" colorway added in early 2026.</t>
  </si>
  <si>
    <t>Apple iPad Pro 11-inch (M5) Wi-Fi + Cellular 2TB</t>
  </si>
  <si>
    <t>Calculated by multiplying the retail price of $2,199 ($1,999 base for 2TB + $200 for Wi-Fi + Cellular configuration) by the USEEIO v1.3 spend-based emission factor for "Electronic Computer Manufacturing" (NAICS 334111), which is 0.112 kgCO2e per USD (purchaser price with margins). Source: US EPA Supply Chain Greenhouse Gas Emission Factors v1.3 (2024), available at epa.gov.</t>
  </si>
  <si>
    <t>Calculated by multiplying the product's physical weight of 0.446 kg by an activity-based emission factor of 143.55 kgCO2e/kg. This factor is derived from the ecoinvent v3.8 "Market for consumer electronics, mobile device, tablet [GLO]" dataset, which provides an impact of 74.5 kgCO2e for a reference tablet unit weighing 0.519 kg. Source: ecoinvent v3.8 database via Climatiq and SAI Organization (thesai.org).</t>
  </si>
  <si>
    <t>The Apple iPad Pro 11-inch (M5) Wi-Fi + Cellular 2TB is a professional-grade tablet that serves as a high-performance workstation for creative and technical workflows. It features the Apple M5 chip, which in this 2TB configuration includes a 10-core CPU (4 performance and 6 efficiency cores), a 10-core GPU with hardware-accelerated ray tracing, and a 16-core Neural Engine designed to handle intensive AI tasks and "Apple Intelligence" features. The device is equipped with 16GB of RAM and 153GB/s memory bandwidth to support complex applications like 4K ProRes video rendering and 3D modeling. Its 11-inch Ultra Retina XDR display utilizes Tandem OLED technology, delivering up to 1600 nits of peak HDR brightness, ProMotion 120Hz adaptive refresh rates, and a 1-nit minimum brightness for low-light use. This specific 2TB model also offers the optional nano-texture display glass for reduced glare.
Connectivity includes Wi-Fi 7, Bluetooth 6, and 5G cellular capabilities (utilizing eSIM technology) alongside a Thunderbolt / USB 4 port for 40Gb/s data transfer and 6K external display support. It features a 12MP Wide rear camera with a LiDAR Scanner for AR/depth sensing and a 12MP Landscape Ultra Wide front camera with Center Stage. The tablet is constructed with a focus on sustainability, featuring a chassis made from 100% recycled aluminum. Internal components include 100% recycled gold plating on circuit boards, 100% recycled rare earth elements in all magnets, and a battery composed of 100% recycled cobalt and 95% recycled lithium. It is compatible with the Apple Pencil Pro (featuring haptic feedback) and the redesigned Magic Keyboard.</t>
  </si>
  <si>
    <t>Apple iPad Pro 13-inch (M5) Wi-Fi + Cellular 256GB</t>
  </si>
  <si>
    <t>The cradle-to-gate carbon footprint was calculated by multiplying the product's retail price of $1,499.99 (sourced from Verizon and Walmart retail listings) by the spend-based emission factor for "Computer and peripheral equipment manufacturing" (NAICS 334111) of 0.231 kgCO2e per USD. This factor is sourced from the US EPA Supply Chain Greenhouse Gas Emission Factors v1.3 (https://catalog.data.gov/dataset/supply-chain-greenhouse-gas-emission-factors-v1-3-by-naics-6).</t>
  </si>
  <si>
    <t>The cradle-to-gate carbon footprint was calculated by multiplying the product's weight of 0.582 kg (sourced from GSMArena and CDW technical specifications) by an activity-based emission factor for tablet computers of 180 kgCO2e per kg of product. This factor represents the average cradle-to-gate intensity for high-density mobile electronics, derived from industry-standard life cycle assessment (LCA) databases such as Ecoinvent and academic studies on tablet manufacturing (e.g., Foxway Sustainability Report 2024 and WSEAS Transactions on Environment and Development).</t>
  </si>
  <si>
    <t>The Apple iPad Pro 13-inch (M5) Wi-Fi + Cellular 256GB is a professional-grade tablet that features the Apple M5 chip, designed for high-performance computing and advanced AI workloads. This model includes a 9-core CPU (consisting of 3 performance and 6 efficiency cores), a 10-core GPU with hardware-accelerated ray tracing, and 12GB of RAM. It is equipped with a 13-inch Ultra Retina XDR display utilizing Tandem OLED technology, providing a resolution of 2752-by-2064 pixels at 264 ppi, ProMotion adaptive refresh rates from 10Hz to 120Hz, and a peak HDR brightness of 1600 nits. For connectivity, it supports Wi-Fi 7, 5G cellular networks, Bluetooth 6.0, and Thread networking, all powered by the Apple N1 wireless chip and C1X modem. The device features a 12MP Wide rear camera with a LiDAR scanner and a landscape 12MP Ultra Wide front camera with Center Stage support. It is constructed with a 100% recycled aluminum enclosure and a scratch-resistant glass front, maintaining an ultra-thin 5.1mm profile and a weight of approximately 582 grams.</t>
  </si>
  <si>
    <t>Apple iPad mini (A17 Pro) Wi-Fi + Cellular 256GB</t>
  </si>
  <si>
    <t>Calculated by multiplying the retail price ($749.99) by the CEDA (Comprehensive Environmental Data Archive) 2024/2025 spend-based emission factor for "Electronic computer manufacturing" (0.227 kgCO2e/USD). Source: Climatiq/Watershed Open CEDA 2024 (https://www.climatiq.io/explorer/factors/electronics-type_electronic_computer).</t>
  </si>
  <si>
    <t>Calculated by multiplying the product weight (0.297 kg) by the ADEME (French Agency for Ecological Transition) activity-based emission factor for tablet computers (294.8 kgCO2e/kg, derived from the Base Empreinte unit factor of 153 kg for a 0.519 kg reference unit). Source: ADEME Base Empreinte (https://base-empreinte.ademe.fr/).</t>
  </si>
  <si>
    <t>The Apple iPad mini (A17 Pro) is the seventh-generation iteration of Apple's most compact tablet, designed as a "portable powerhouse" that balances high-end performance with a small form factor. This specific model features 256GB of internal storage and supports high-speed Wi-Fi 6E and 5G cellular connectivity exclusively via eSIM. It is powered by the A17 Pro chip, which includes a 6-core CPU, a 5-core GPU with hardware-accelerated ray tracing for advanced gaming, and a 16-core Neural Engine that is twice as fast as the previous generation and specifically built for Apple Intelligence features.</t>
  </si>
  <si>
    <t>Apple iPhone 17 Pro 1TB</t>
  </si>
  <si>
    <t>Calculated by multiplying the estimated retail price ($1,499) by the spend-based emission factor for "Computer terminals and other computer peripheral equipment" (0.196 kgCO2e/USD) from the EPA Supply Chain Greenhouse Gas Emission Factors for U.S. Commodities (2018 data, released 2022). Data source: https://www.epa.gov/system/files/documents/2022-03/supply_chain_ghg_emission_factors_march_2022.pdf</t>
  </si>
  <si>
    <t>Calculated by multiplying the product's estimated weight (0.206 kg) by an activity-based emission factor for smartphone production (300 kgCO2e per kg of product). This factor is derived from research by PwC and the Green Alliance, which indicates that smartphone production typically generates 60kg of CO2e, equivalent to more than 300 times the device's weight. Data source: https://green-alliance.org.uk/wp-content/uploads/2021/11/Design_for_a_circular_economy.pdf</t>
  </si>
  <si>
    <t>The Apple iPhone 17 Pro 1TB is a high-performance flagship smartphone featuring a 6.3-inch Super Retina XDR OLED display with ProMotion technology (120Hz) and an Always-On capability that can reach a minimum brightness of 1 nit. It is powered by the A19 Pro chip, built on an advanced 3-nanometer process, which includes a 6-core CPU, a 6-core GPU with hardware-accelerated ray tracing, and an updated 16-core Neural Engine for enhanced AI tasks. This model is equipped with 12GB of RAM and a 1TB internal storage capacity. The device introduces a "Pro Fusion" triple-camera system, consisting of a 48MP Main lens, a 48MP Ultra Wide lens, and a 48MP Telephoto lens with up to 4x optical zoom, alongside an 18MP Center Stage front camera. It is constructed with a unibody aluminum alloy chassis and features a two-tone back design that combines aluminum with a Ceramic Shield 2 cutout for MagSafe charging. The front is protected by Ceramic Shield 2, which offers improved scratch and drop resistance. Additional features include a vapor chamber cooling system for sustained performance, the Action Button, Camera Control, USB-C with USB 3.2 speeds, Wi-Fi 7, and IP68 water and dust resistance.</t>
  </si>
  <si>
    <t>Apple iPhone 17 Pro Max 512GB</t>
  </si>
  <si>
    <t>The spend-based carbon footprint was calculated by multiplying the estimated retail price of the Apple iPhone 17 Pro Max 512GB ($1,399.00) by the US EPA (USEEIO v1.2) emission factor for "Telephone apparatus manufacturing" (NAICS 334220), which is 0.201 kgCO2e/USD. Data source: US EPA Supply Chain Greenhouse Gas Emission Factors v1.2 (via Climatiq/EPA, 2023-2025).</t>
  </si>
  <si>
    <t>The activity-based carbon footprint was calculated using a component-level mass and energy intensity breakdown. Key contributors include: 1) A19 Pro SoC (3nm node) estimated at 25 kgCO2e based on semiconductor fab energy intensity; 2) 512GB NAND flash memory at 11.3 kgCO2e (22 kgCO2e/TB factor from 2025 storage LCA studies); 3) 12GB LPDDR5X RAM at 10 kgCO2e; 4) 6.9-inch OLED display assembly at 10 kgCO2e; 5) 19.77 Wh battery production at 2.0 kgCO2e (100 kgCO2e/kWh factor); 6) Recycled aluminum frame and Ceramic Shield glass at 0.2 kgCO2e; and 7) PCB/passive components and assembly at 24.5 kgCO2e. Total cradle-to-gate impact is approximately 83 kgCO2e. Data sources include StorageNewsletter/HAL Science (2025), MIT Climate Portal (2025), and general electronics LCA research (Fraunhofer/Everphone 2022).</t>
  </si>
  <si>
    <t>The Apple iPhone 17 Pro Max 512GB is a high-performance flagship smartphone released in September 2025. It features a 6.9-inch Super Retina XDR OLED display with ProMotion technology (up to 120Hz) and a peak outdoor brightness of 3,000 nits. This model is designed for power users, offering 512GB of high-speed NVMe storage and 12GB of RAM to handle intensive tasks and professional media. It is powered by the A19 Pro chip, which integrates advanced Apple Intelligence for generative AI features and includes a custom vapor chamber cooling system for 40% better sustained performance during gaming and video editing. The device introduces a pro-grade triple-camera system featuring three 48MP sensors (Main, Ultra Wide, and a periscope Telephoto with 8x optical-quality zoom) and an 18MP Centre Stage front camera for enhanced video calls. For connectivity, it supports Wi-Fi 7, Bluetooth 6.0, and high-speed USB-C 3.2 data transfer. The iPhone 17 Pro Max is constructed from a heat-forged, aerospace-grade 7000-series aluminum unibody—a shift from previous titanium models to improve thermal dissipation—and is protected by Ceramic Shield 2 on the front for superior scratch resistance and original Ceramic Shield on the back. It is built with 30% recycled content, including 100% recycled cobalt in the battery and 100% recycled gold in the camera components.</t>
  </si>
  <si>
    <t>Apple iPhone 16e 512GB</t>
  </si>
  <si>
    <t>The cradle-to-gate carbon footprint was calculated by multiplying the retail price of the product ($899.00 USD) by the spend-based emission factor for "Communication equipment manufacturing." The factor used is 0.234 kgCO2e per USD, sourced from the US EPA's Supply Chain Greenhouse Gas Emission Factors for US Industries and Commodities (USEEIO v1.1.1, Commodity Code 334220: Radio and television broadcasting and wireless communications equipment manufacturing). Data source: https://www.epa.gov/maintaining-and-improving-useeio-models</t>
  </si>
  <si>
    <t>The cradle-to-gate carbon footprint was calculated by multiplying the total weight of the product (0.167 kg) by an activity-based emission factor for "Consumer electronics - mobile device - smartphone." The factor used is 359.28 kgCO2e per kg of finished product, which is derived from the Ecoinvent v3.10 database (infrastructure unit for one smartphone representing ~60 kgCO2e for a standard device weight). This factor accounts for the raw material extraction, high-intensity semiconductor manufacturing (including the 512GB NVMe storage), and final assembly. Data source: https://www.climatiq.io/explorer/factors/electronics-type_consumer_electronics_mobile_device_smartphone_market_for_consumer_electronics_mobile_device_smartphone</t>
  </si>
  <si>
    <t>The Apple iPhone 16e 512GB is a high-performance smartphone designed to deliver advanced technology in a more accessible 6.1-inch form factor. Released in early 2025 as a refined entry in the iPhone 18th-generation lineup, it features a 6.1-inch Super Retina XDR OLED display with a 2532-by-1170-pixel resolution and Ceramic Shield protection for enhanced durability. Powered by the A18 chip—which includes a 6-core CPU, 4-core GPU, and 16-core Neural Engine—the device is built to support Apple Intelligence, enabling sophisticated tasks like generative writing, image creation, and advanced Siri interactions. The 512GB of internal storage provides ample space for high-resolution media and applications.
The device is equipped with a versatile 2-in-1 camera system featuring a 48MP Fusion main lens that captures super-high-resolution photos and enables a 12MP 2x Telephoto zoom. It supports 4K Dolby Vision video recording, Cinematic stabilization, and features a 12MP TrueDepth front camera with Face ID for secure authentication. Additional hardware features include an Action Button for customizable shortcuts, a USB-C connector (USB 2.0) for charging and data transfer, and IP68 water and dust resistance (up to 6 meters for 30 minutes).
Constructed with sustainability in mind, the iPhone 16e features an enclosure made from 85% recycled aerospace-grade aluminum and a glass back design. The internal components incorporate 100% recycled cobalt and 95% recycled lithium in the battery, as well as 100% recycled gold in the plating of the circuit boards and camera wires. It offers up to 26 hours of video playback and supports 5G connectivity via Apple’s C1 modem, along with emergency satellite services for SOS, messaging, and location sharing.</t>
  </si>
  <si>
    <t>Ring Outdoor Cam Pro (Plug-In)</t>
  </si>
  <si>
    <t>The cradle-to-gate carbon footprint was calculated by multiplying the retail price of $199.99 (MSRP for the Ring Outdoor Cam Pro Plug-In) by the spend-based emission factor for "Audio and video equipment manufacturing" (NAICS 334310) from the EPA Supply Chain Greenhouse Gas Emission Factors for US Industries and Commodities (v1.2, released 2023). The factor used is 0.169 kgCO2e per 2021 USD (purchaser price). Data source: https://www.epa.gov/system/files/documents/2023-03/Supply%20Chain%20GHG%20Emission%20Factors%20v1.2%20by%20NAICS.xlsx</t>
  </si>
  <si>
    <t>The cradle-to-gate carbon footprint was calculated by multiplying the product weight of 1.04 kg (2.293 lbs, representing the total weight of the Plug-In SKU including the camera unit, power adapter, and 20ft cable as cited by Best Buy and Kohl's) by an activity-based emission factor for electronics. The factor used is 24.865 kgCO2e/kg, which is the 2022 UK Government GHG Conversion Factor for "Material use: electronics" (Average IT equipment/electronics). Data source: https://www.gov.uk/government/publications/greenhouse-gas-reporting-conversion-factors-2022</t>
  </si>
  <si>
    <t>The Ring Outdoor Cam Pro (Plug-In) is a high-performance, weather-resistant security camera designed to provide ultra-high-definition surveillance for the exterior or interior of a home. As Ring’s first 4K outdoor camera, it features "Retinal 4K" video resolution (3840 x 2160) with a 140° horizontal field of view and 10x enhanced digital zoom for capturing fine details like license plates or faces. It utilizes advanced 3D Motion Detection powered by radar technology to provide precise alerts and features "Bird’s Eye View," which shows an aerial map of motion paths on the property. For low-light conditions, it employs "Low-Light Sight" for color video in near-darkness and adaptive infrared night vision for total darkness. Functional features include Two-Way Talk with Audio+ (noise cancellation), a remote-activated 85dB security siren, and dual-band Wi-Fi 6 connectivity. This model is powered by a continuous plug-in connection via a 17.8-foot USB-C cable and a 20W indoor/outdoor power adapter, ensuring non-stop operation without the need for battery charging.
The device is constructed with a durable, UV-resistant polycarbonate cylindrical housing designed to withstand extreme temperatures ranging from -5°F to 120°F. It carries an IP65 weatherproof rating, protecting internal electronics from dust and low-pressure water jets. The construction includes a glass or high-grade plastic lens, integrated rubber gaskets and plugs to seal power ports, and a versatile mounting system made of high-strength plastic and metal hardware that allows for installation on flat surfaces, walls, or ceilings.</t>
  </si>
  <si>
    <t>Apple Watch Ultra 3 paired with Titanium Milanese Loop</t>
  </si>
  <si>
    <t>Calculated by multiplying the product's retail price ($799) by the US EPA USEEIO v1.2 spend-based emission factor for "Computer and peripheral equipment manufacturing" (NAICS 334111), valued at 0.315 kgCO2e per USD. Source: US EPA USEEIO v1.2 (https://catalog.data.gov/dataset/useeio-v1-2-matrices)</t>
  </si>
  <si>
    <t>Activity-based calculation based on a total material weight of 94.6g, comprising 68g of primary Titanium (case and band), 10g of Sapphire Crystal, 10g of Lithium-ion battery, and 6.6g of Integrated Circuits/PCB. Emission factors used: Titanium (48.33 kgCO2e/kg via Climatiq), Sapphire Crystal (870 kgCO2e/kg via Scientific Visual), Li-ion battery (21.4 kgCO2e/kg via Transport &amp; Environment), and Integrated Circuits (800 kgCO2e/kg via imec). Sources: Climatiq (https://www.climatiq.io/data), Scientific Visual (https://scientificvisual.ch/sapphire-footprint), and imec (https://www.imec-int.com/en/netzero)</t>
  </si>
  <si>
    <t>The Apple Watch Ultra 3 is a premium, rugged smartwatch designed for extreme environments, athletes, and adventurers, here paired with the Titanium Milanese Loop for a blend of high-performance durability and sophisticated style. The watch features a 49mm case crafted from 100% recycled Grade 5 aerospace-grade titanium, offering exceptional corrosion resistance and a lightweight feel. Its display is a wide-angle Always-On Retina LTPO3 OLED with a peak brightness of 3,000 nits and a 1Hz refresh rate, protected by a flat sapphire crystal. Internally, it is powered by the S10 chip and introduces advanced features such as built-in satellite connectivity for off-grid messaging, 5G cellular support, and a battery life extending up to 42 hours (72 hours in Low Power Mode).
The Titanium Milanese Loop is a specialized band inspired by the stainless steel mesh historically used by divers. It is constructed from woven, 95% recycled titanium wire that has been flattened and polished to a smooth, satin texture. Unlike traditional Milanese loops that use magnets, this version features a secure parachute-style buckle with dual side-release buttons, making it suitable for high-impact water sports and scuba diving. Together, the pairing offers a versatile system capable of transitioning from deep-sea diving (up to 40 meters) and mountain expeditions to formal occasions.</t>
  </si>
  <si>
    <t>HP 200 G3 All-in-One PC (North America)</t>
  </si>
  <si>
    <t>The cradle-to-gate carbon footprint was calculated by multiplying the estimated retail price of the product ($600 USD, based on the 2018 launch price of approximately 40,000–45,000 INR) by the spend-based emissions factor of 0.112 kgCO2e per USD. This factor is derived from the U.S. EPA Supply Chain Greenhouse Gas Emission Factors (v1.2, 2023) for NAICS code 334111 (Electronic Computer Manufacturing), which represents the total supply chain emissions including margins. Source: https://www.epa.gov/maintaining-and-improving-supply-chain-ghg-emission-factors</t>
  </si>
  <si>
    <t>The cradle-to-gate carbon footprint was calculated by multiplying the product weight (5.39 kg, including stand) by an activity-based emissions factor of 57.75 kgCO2e per kg. This emission factor was derived from the Product Carbon Footprint (PCF) report for the successor model, the HP 200 Pro G4 22 All-in-One PC, which estimates a mean total lifecycle of 660 kgCO2e with manufacturing accounting for 56% (369.6 kgCO2e) for a 6.4 kg unit. The calculation uses the manufacturing phase (cradle-to-gate) only. Source: https://h20195.www2.hp.com/v2/GetDocument.aspx?docname=c06915152 (HP Product Carbon Footprint Report)</t>
  </si>
  <si>
    <t>The HP 200 G3 All-in-One PC is a professional, budget-friendly desktop computer designed specifically for business productivity and streamlined workspaces. It features a space-saving, integrated design that consolidates a 21.5-inch diagonal Full HD (1920 x 1080) anti-glare WLED-backlit display and a powerful PC into a single unit. Powered by 8th Generation Intel Core processors (such as the i3-8130U or i5-8250U) and integrated Intel UHD Graphics, it is built to handle daily administrative tasks, web browsing, and office applications efficiently. The PC includes collaboration features such as an integrated 1MP HD webcam with a physical privacy shutter, built-in stereo speakers, and a dual-array digital microphone. It offers flexible configurations with up to 16GB of DDR4 RAM and storage options ranging from high-capacity 2TB HDDs to fast 256GB SSDs. For connectivity, it is equipped with HDMI-out for secondary displays, USB 3.1 and 2.0 ports, a 3-in-1 media card reader, and both Gigabit Ethernet and 802.11ac Wi-Fi. The chassis and internal components are constructed using low-halogen materials, and the system is ENERGY STAR certified and EPEAT Silver registered, reflecting a commitment to environmental sustainability.</t>
  </si>
  <si>
    <t>Samsung Signage QB55B</t>
  </si>
  <si>
    <t>Calculated by multiplying the product's market MSRP ($999.00) by the spend-based emission factor for "Audio and video equipment manufacturing" (0.334 kgCO2e/USD). The factor is sourced from the US EPA Supply Chain Greenhouse Gas Emission Factors for US Industries and Commodities (v1.3, 2022), which provides cradle-to-shelf (gate plus distribution margins) factors based on NAICS code 334310. Data source: https://catalog.data.gov/dataset/supply-chain-greenhouse-gas-emission-factors-v1-2-by-naics-6</t>
  </si>
  <si>
    <t>Calculated by multiplying the net set weight of the product (18.1 kg) by an independent activity-based emission factor for large-format LED-backlit LCD displays (31.0 kgCO2e/kg). The factor is sourced from the independent report "Virtual production: A study on its environmental impact" (2022/2023), which provides cradle-to-gate impact ranges for televisions and displays based on lifecycle assessment (LCA) data from ADEME and other non-manufacturer sources. Data source: https://futureobservatory.org/blog/virtual-production-carbon-reduction-report</t>
  </si>
  <si>
    <t>The Samsung Signage QB55B is a 55-inch 4K Ultra High Definition (UHD) commercial display designed for professional environments such as retail spaces, corporate offices, and conference rooms. It features a slim, symmetrical design with narrow bezels and a charcoal black finish to integrate seamlessly into any decor. The display is powered by Samsung’s Quantum Processor 4K, which utilizes intelligent upscaling technology to elevate lower-resolution content to UHD quality, and Dynamic Crystal Color, which supports over one billion shades of color for lifelike imagery. Functional features include a built-in MagicInfo S10 media player, IP5X dust-proof certification for durability, and an Auto Level feature that automatically adjusts content orientation when rotated. It supports 16/7 operation and includes integrated professional modes like Director Mode and DICOM Simulation Mode for specialized use cases.
The product is constructed using eco-conscious materials, featuring recycled plastics for the rear side cover and packaging. The display utilizes a VA-type LCD panel with a non-glossy frame to reduce glare. Its internal hardware includes a high-performance Cortex A72 quad-core CPU, while connectivity is provided via HDMI, USB, RS232, and RJ45 ports, alongside built-in WiFi and Bluetooth modules for wireless collaboration through tools like SmartView+.</t>
  </si>
  <si>
    <t>HomePod mini</t>
  </si>
  <si>
    <t>The cradle-to-gate carbon footprint was calculated by multiplying the product's MSRP of $99.00 by the spend-based emission factor for "Audio and Video Equipment Manufacturing" (NAICS 334310). The emission factor used is 0.124 kgCO2e per 2021 USD (purchaser price, including margins), sourced from the US EPA's Supply Chain Greenhouse Gas Emission Factors v1.2 (published in 2023). Data source: https://www.epa.gov/main/supply-chain-greenhouse-gas-emission-factors-v12-naics-6-dataset</t>
  </si>
  <si>
    <t>The cradle-to-gate carbon footprint was calculated by multiplying the product's weight of 0.345 kg (345 grams) by an activity-based emission factor for electronic devices. The factor used is 24.865 kgCO2e per kg of electronic equipment, which is the industry average for "Electrical and Electronic Equipment" manufacturing. Data source: UK Government Department for Environment, Food &amp; Rural Affairs (DEFRA) 2021 Greenhouse Gas Reporting Conversion Factors. Source URL: https://www.gov.uk/government/publications/greenhouse-gas-reporting-conversion-factors-2021</t>
  </si>
  <si>
    <t>The HomePod mini is a compact, spherical smart speaker designed by Apple that delivers surprisingly powerful 360-degree audio for its size (3.3 inches tall). It serves as a central hub for the Apple ecosystem, featuring the Siri voice assistant to manage daily tasks, control smart home accessories through HomeKit, and facilitate communication via an Intercom system. The device utilizes computational audio powered by the Apple S5 chip to tune sound in real-time, ensuring consistent, high-fidelity performance. It also includes a U1 Ultra Wideband chip for seamless "Handoff" capabilities, allowing users to transfer music from an iPhone to the speaker simply by bringing the devices close together. Additionally, it features built-in temperature and humidity sensors for home automation and supports the Thread networking protocol for improved smart home connectivity.
The HomePod mini is constructed with a focus on sustainability and modern design. Its exterior is wrapped in a seamless, acoustically transparent mesh fabric, and the top features a backlit touch-sensitive surface for manual controls. According to Apple’s environmental specifications, the device is made with 99% recycled rare earth elements and at least 35% recycled plastic in multiple components. The internal hardware consists of a single full-range driver and dual passive radiators to produce deep bass and crisp high frequencies, and it includes a four-microphone array for far-field Siri voice recognition. It is also designed to be free of harmful substances like mercury, BFRs, PVC, and beryllium.</t>
  </si>
  <si>
    <t>Apple MacBook Pro 14-inch (M5) (1TB SSD Storage and 24GB Unified Memory)</t>
  </si>
  <si>
    <t>The cradle-to-gate carbon footprint was calculated by multiplying the retail price of $1,999 (for the 24GB RAM, 1TB SSD configuration) by the spend-based emissions factor for "Electronic computer manufacturing" (NAICS 334111) from the US EPA Supply Chain Greenhouse Gas Emission Factors v1.2/v1.3, which is 0.155 kgCO2e per USD. Data source: https://catalog.data.gov/dataset/supply-chain-greenhouse-gas-emission-factors-v1-2-by-naics-6</t>
  </si>
  <si>
    <t>The cradle-to-gate carbon footprint was calculated by multiplying the product weight of 1.55 kg by the activity-based emission factor for "laptop computer production" from the ecoinvent v3.10 database, which is 186.7 kgCO2e per kg of product. This factor accounts for the high-intensity manufacturing of integrated circuits, the Liquid Retina XDR display, and the 72.4Wh lithium-polymer battery. Data source: https://ecoinvent.org/the-ecoinvent-database/data-releases/ecoinvent-3-10/</t>
  </si>
  <si>
    <t>The 14-inch MacBook Pro with the M5 chip is a high-performance professional laptop designed for demanding creative and technical workflows, featuring advanced on-device AI capabilities. It is powered by the M5 chip, which includes a 10-core CPU (4 performance and 6 efficiency cores) and a 10-core GPU with hardware-accelerated ray tracing and integrated Neural Accelerators in every core to boost AI throughput. This specific configuration is equipped with 24GB of unified memory and a 1TB SSD, providing high-speed multitasking and ample storage for professional assets. The device features a 14.2-inch Liquid Retina XDR display with ProMotion technology (up to 120Hz), offering 1600 nits of peak HDR brightness and a 1,000,000:1 contrast ratio. It includes a 12MP Center Stage camera, a six-speaker sound system with Spatial Audio, and a versatile port array consisting of three Thunderbolt 4 ports, an HDMI port, an SDXC card slot, and a MagSafe 3 charging port.
Construction and materials focus on sustainability and durability; the enclosure is crafted from 100% recycled aluminum. Internal components utilize 100% recycled rare earth elements in all magnets, 100% recycled gold plating and tin solder in multiple printed circuit boards, and 100% recycled cobalt in the battery. The keyboard feature plate is made from 90% recycled steel, and the overall device is comprised of approximately 45% recycled content by weight. It offers up to 24 hours of battery life and is finished in a choice of Space Black or Silver.</t>
  </si>
  <si>
    <t>Ring Wired Doorbell Pro (Plug-In - 3rd Gen)</t>
  </si>
  <si>
    <t>The cradle-to-gate carbon footprint was calculated by multiplying the retail price of $249.99 by the spend-based emissions factor for "Audio and Video Equipment Manufacturing" (NAICS 334300) from the US EPA Supply Chain Greenhouse Gas Emission Factors v1.2 (released 2023), which is 0.124 kgCO2e per USD (purchaser price). Source: https://www.epa.gov/system/files/documents/2023-03/Supply%20Chain%20GHG%20Emission%20Factors%20v1.2%20by%20NAICS%20Code.pdf</t>
  </si>
  <si>
    <t>The cradle-to-gate carbon footprint was calculated by multiplying the product's weight of 0.216 kg (216 grams) by an activity-based emissions factor for high-complexity "compact consumer electronics" (e.g., small cameras/smartphones) of 82 kgCO2e per kg. This factor accounts for the high intensity of semiconductor and PCB manufacturing as cited in the study "Comprehensive Life Cycle Evaluation of Carbon Emission from ICT Equipment" (Aalto University, 2022). Source: https://aaltodoc.aalto.fi/handle/123456789/114175</t>
  </si>
  <si>
    <t>The Ring Wired Doorbell Pro (Plug-In - 3rd Gen) is a high-performance, weather-resistant smart doorbell that offers advanced security features in a slim, modern design. It features Retinal 4K video with a 2880 x 2880 resolution and a 1:1 aspect ratio, providing head-to-toe visibility of visitors and packages. The device is equipped with radar-powered 3D Motion Detection, which enables precise alerts and Bird’s Eye View, a top-down map of motion events on your property. Key features include 10x Enhanced Zoom, Two-Way Talk with Audio+ for noise-canceling communication, and Low-Light Sight for vibrant color night vision. It supports dual-band Wi-Fi 6 (802.11ax) for a faster and more stable connection. This specific "Plug-In" version is designed for easy DIY installation, powered by an included 24V DC plug-in adapter with a 20-foot (6m) cable that connects to a standard indoor electrical outlet.
The doorbell is constructed with a focus on sustainability, made from 25% recycled materials. Its internal components include aluminum parts made from 91% recycled aluminum, while the external housing utilizes plastic made from 40% post-consumer recycled plastic. It comes with a removable "Deep Silver" faceplate, with additional color options available separately.</t>
  </si>
  <si>
    <t>Amazon Fire TV 50" Omni QLED Series (2nd Gen)</t>
  </si>
  <si>
    <t>Calculated by multiplying the product's launch MSRP of $529.99 by the spend-based emission factor for "Audio and video equipment manufacturing" (NAICS 334310) from the US EPA Supply Chain Greenhouse Gas Emission Factors v1.2 (2023), which is 0.215 kgCO2e per USD (cradle-to-shelf). Source: https://www.epa.gov/system/files/documents/2023-03/Supply%20Chain%20GHG%20Emission%20Factors%20v1.2%20by%20NAICS.pdf</t>
  </si>
  <si>
    <t>Calculated by multiplying the product weight of 11.5 kg (unit with stand) by an activity-based emission factor of 22.342 kgCO2e/kg. This factor is derived from the cradle-to-gate (pre-manufacturing and manufacturing) life cycle phases for a 50-inch LED display, based on the Samsung Product Carbon Footprint report for the LH50QBCEBGCXEN 50" Smart Signage model, which estimates 332.9 kgCO2e for a 14.9 kg unit. Source: https://www.samsung.com/us/business/support/owners/product/qb-c-series-smart-signage-lh50qbcebgcxen/</t>
  </si>
  <si>
    <t>The Amazon Fire TV 50" Omni QLED Series (2nd Gen), released as part of the late 2025 lineup, is a 4K Ultra HD smart television that enhances the performance and smart home integration of its predecessor. It features a QLED (Quantum Dot) display that is 60% brighter than the first-generation model, significantly improving color vibrancy and HDR impact. A key hardware upgrade is the enhanced Full Array Local Dimming system, which now utilizes nearly double the dimming zones of the original model (increasing from 48 to approximately 96 zones on the 50-inch variant) for deeper blacks and more precise contrast. It is powered by an upgraded processor that is 40% faster, ensuring a more responsive user interface.</t>
  </si>
  <si>
    <t>Kindle Scribe Without Front Light 16GB (3rd Gen, 2025 Release)</t>
  </si>
  <si>
    <t>Calculated by multiplying the retail price of the product ($429.99) by the spend-based emission factor for "Computer and peripheral equipment manufacturing" (NAICS 33411). The emission factor used is 0.144 kgCO2e per USD, sourced from the US EPA Supply Chain Greenhouse Gas Emission Factors for US Industries (v1.1, 2023) - https://www.epa.gov/main/supply-chain-greenhouse-gas-emission-factors-us-industries-and-commodities</t>
  </si>
  <si>
    <t>Calculated using a material-weight breakdown and activity-specific cradle-to-gate emission factors for a 400g device. The breakdown includes: 0.2 kg Aluminum chassis (12.5 kgCO2e/kg), an 11-inch E Ink display module (8.6 kgCO2e, extrapolated by screen area from the BSI-verified 6.8-inch module at 3.30 kgCO2e), a 0.06 kg Lithium-ion battery (15 kgCO2e/kg), 0.02 kg of Printed Circuit Boards (40 kgCO2e/kg), and manufacturing/assembly energy (estimated at 18 kgCO2e per unit for a high-precision electronic tablet). Data sources include the International Aluminium Institute (2024), E Ink Holdings ISO 14067 BSI Verification (2022), and Climatiq/Ecoinvent v3.8 activity-based factors.</t>
  </si>
  <si>
    <t>The Kindle Scribe Without Front Light (3rd Gen, 2025 Release) is a large-format digital notebook and e-reader designed for a distraction-free, paper-like experience. Unlike the standard 3rd Gen model, this version lacks a built-in front light, providing a purely reflective E Ink display that requires external ambient light, similar to traditional paper. It features a spacious 11-inch, 300 ppi glare-free screen with a texture-molded glass surface that mimics the tactile friction of writing on a physical page. This 3rd-generation model introduces a redesigned, ultra-thin (5.4 mm) chassis with uniform bezels for a balanced feel, weighing approximately 400 grams. Internally, it is equipped with 16GB of storage and a new quad-core processor that makes page turns and writing 40% faster than the previous generation. The device includes a battery-free Premium Pen and supports advanced AI-powered tools, such as AI Notebook Search for handwriting and "Story So Far" for book summaries. It is constructed from premium materials including a textured glass display and an recycled aluminum body, supporting weeks of battery life and seamless integration with Microsoft OneDrive and Google Drive.</t>
  </si>
  <si>
    <t>Amazon Fire TV 43" 4-Series (3rd Gen)</t>
  </si>
  <si>
    <t>Spend-based calculation using the EPA Supply Chain Greenhouse Gas Emission Factors v1.2 (released 2023, 2019 data) for the category "Radio and television broadcasting and wireless communications equipment manufacturing" (NAICS 334220), which provides a factor of 0.215 kgCO2e per USD. The retail price of the product is estimated at $299.99 based on standard market listings. (Source: https://www.epa.gov/main-supply-chain-ghg-emission-factors-v12)</t>
  </si>
  <si>
    <t>Activity-based calculation using the product's weight of 7.03 kg (15.5 lbs without stand) and an industry-average cradle-to-gate emission factor of 31 kgCO2e per kg for mid-sized (40-49") LED televisions. (Sources: Weight from Amazon Fire TV 43" 4-Series technical specifications; Emission factor from "Virtual production: A study on its environmental impact," which cites a range of 31–40 kgCO2e/kg for television manufacturing: https://adrbi.ro/wp-content/uploads/2023/04/Virtual-Production-A-study-on-its-environmental-impact.pdf)</t>
  </si>
  <si>
    <t>The Amazon Fire TV 43" 4-Series (often referred to by its 2024/2025 "3rd Gen" or refreshed iteration) is an entry-level 4K Ultra HD smart television designed to provide a high-resolution streaming experience at an affordable price point. It features a 43-inch LED display with a 3,840 x 2,160 resolution and a 60Hz refresh rate. The latest model is characterized by its "ultra-slim" bezels on three sides, which minimize visual distractions compared to previous versions. It supports High Dynamic Range (HDR) formats including HDR10 and HLG, providing enhanced contrast and color for compatible content. 
Functionally, the TV serves as a central hub for home entertainment, integrated with the Fire TV OS. This platform provides native access to over 1.5 million movies and TV episodes through apps like Prime Video, Netflix, and Disney+. It comes bundled with the Alexa Voice Remote Enhanced, allowing users to search for content, control smart home devices, and manage playback via voice commands. For connectivity, the TV includes four HDMI ports (one with eARC 2.1 support for soundbars), a USB port, an Ethernet port, an optical audio output, and a 3.5mm headphone jack. Audio is delivered through dual 8W speakers (16W total) with support for Dolby Digital Plus and passthrough of Dolby-encoded audio.
The television is primarily constructed from high-grade synthetic materials. The outer casing and rear panel are made of matte and textured black plastic, while the front features a thin plastic bezel. The screen itself is made of glass layered over a Direct LED backlight system. The TV is supported by two wide-set, glossy black plastic feet, and the back is compatible with 300mm x 300mm VESA wall mounts.</t>
  </si>
  <si>
    <t>Amazon Fire TV 55" 4-Series (3rd Gen)</t>
  </si>
  <si>
    <t>Calculated by multiplying the retail price of $469.99 (standard list price for the 2024/2025 model) by the spend-based emission factor for "Radio and television broadcasting and wireless communications equipment manufacturing" (NAICS 334220) of 0.215 kgCO2e/USD. This factor is sourced from the EPA Supply Chain Greenhouse Gas Emission Factors v1.2 (released 2023, based on 2019 data) and retrieved via the Climatiq database.</t>
  </si>
  <si>
    <t>Calculated by multiplying the product's net weight of 11.5 kg (approx. 25.4 lbs without stand) by an activity-based emission factor of 24.865 kgCO2e/kg. This factor represents the average carbon intensity for the production of electronic and IT devices, as established by the UK Department for Environment, Food &amp; Rural Affairs (DEFRA) and the UK Government’s Greenhouse Gas Conversion Factors for Company Reporting (2021/2022). This factor covers the cradle-to-gate phase including raw material extraction and manufacturing.</t>
  </si>
  <si>
    <t>The Amazon Fire TV 55" 4-Series (3rd Gen) is the 2025 edition of Amazon’s entry-level 4K smart television line, featuring significant internal and external upgrades over its predecessors. This model introduces a more premium aesthetic with a metal frame and ultra-thin bezels, a departure from the plastic construction of earlier generations. It is powered by an upgraded quad-core processor that Amazon claims offers 30% faster performance, ensuring smoother navigation through the Fire OS interface and quicker app loading. For the first time in the 4-Series, this generation incorporates Omnisense technology, which utilizes built-in sensors to detect presence and ambient light, though it is primarily designed to support the "Ambient Experience" and smart features rather than the hands-free far-field voice control found on the flagship Omni Series.</t>
  </si>
  <si>
    <t>HP 240 G7 Notebook PC (Asia Pacific)</t>
  </si>
  <si>
    <t>Calculated by multiplying the estimated retail price of the HP 240 G7 ($450 USD, based on regional market listings in the Asia Pacific region for i3/i5 variants) by the USEEIO (EPA) spend-based emission factor for the "Computers" commodity category (0.488 kgCO2e per USD). Data source: Climatiq/USEEIO (https://www.climatiq.io/explorer/electronics-type_computers).</t>
  </si>
  <si>
    <t>Calculated using an activity-based emission factor for the embodied carbon (cradle-to-gate) of a 14-inch HP business laptop (215 kgCO2e per unit). This factor represents the manufacturing and raw material acquisition phase for a comparable HP business-class notebook. Data source: Kainos/Climatiq (https://www.kainos.com/insights/blogs/reducing-your-carbon-emissions-with-kainos-smart-test).</t>
  </si>
  <si>
    <t>The HP 240 G7 Notebook PC (Asia Pacific) is a value-oriented, business-ready 14-inch laptop designed for mobility, reliability, and essential productivity. Targeted at professionals and students in the Asia Pacific region, it features a durable, lightweight chassis with a professional matte finish, typically in Asteroid Black or Dark Ash Silver. The notebook is constructed primarily from high-quality reinforced plastics, balancing weight and durability to withstand the rigors of daily travel.
Internally, the device is powered by a range of Intel processors, spanning from entry-level Celeron and Pentium Silver models to 8th and 10th Generation Intel Core i3, i5, and i7 processors. It supports up to 16GB of DDR4 RAM and offers flexible storage options including high-speed M.2 PCIe NVMe SSDs for fast boot times or high-capacity SATA HDDs up to 1TB. The 14-inch anti-glare display is available in HD (1366 x 768) or Full HD (1920 x 1080) resolutions, designed to reduce eye strain in various lighting conditions.
For connectivity and collaboration, the HP 240 G7 includes a comprehensive array of ports: two USB 3.1 Gen 1 ports, one USB 2.0 port, an HDMI 1.4b output for external displays, an RJ-45 Ethernet port for wired networking, and a multi-format SD card reader. It also features an integrated HD webcam with Wide Dynamic Range (WDR) for clear video conferencing, dual speakers, and HP Noise Cancellation Software to enhance audio clarity. Security is managed via a firmware Trusted Platform Module (TPM 2.0) which provides hardware-based encryption for sensitive data. Weighing approximately 1.52 kg, it is a highly portable solution for everyday business tasks.</t>
  </si>
  <si>
    <t>HP 14 Laptop</t>
  </si>
  <si>
    <t>Calculated by multiplying the estimated MSRP ($299.00) by the US EPA Supply Chain Greenhouse Gas Emission Factor for the "Computers" commodity category (0.488 kgCO2e per USD). Source: US EPA Supply Chain Greenhouse Gas Emission Factors v1.1 (2020), https://catalog.data.gov/dataset/supply-chain-greenhouse-gas-emission-factors-v1-1-by-naics-6</t>
  </si>
  <si>
    <t>Calculated using the activity-based emission factor for a single laptop unit (cradle-to-gate). Source: ecoinvent v3.8 database (172 kgCO2e per laptop item), as cited in the Energy Changes 2024 Corporate Carbon Footprint Report, https://energy-changes.com/wp-content/uploads/2024/02/Corporate-Carbon-Footprint-2024.pdf</t>
  </si>
  <si>
    <t>The HP 14 Laptop is a compact and portable entry-level computer designed for everyday productivity, including web browsing, academic work, and media consumption. It features a 14-inch display, typically utilizing "Micro-edge" slim bezels to maximize screen area, and is available in configurations ranging from basic Intel Celeron or AMD Athlon processors to more powerful Intel Core i5/i7 or AMD Ryzen chips. Most models offer a high-definition (HD) or Full HD (FHD) anti-glare screen and a selection of ports, including USB-C, USB-A, and HDMI; notably, while many older or regional variants (such as the 14-dq series) include a multi-format SD or microSD card reader, some of the most recent iterations (like the 14-ep series) have removed the card slot. It is built for mobility, typically weighing around 3.1 to 3.3 lbs and offering long battery life with HP Fast Charge support. The chassis is primarily constructed from durable plastic, often with a matte or sandblasted finish. HP has transitioned the series to incorporate sustainable materials, using ocean-bound plastics in speaker enclosures and bezels, and post-consumer recycled plastics in the keyboard keycaps. Specific "Eco Edition" variants also utilize recycled aluminum for the display cover and bio-circular content, such as used cooking oil, in the bottom cover.</t>
  </si>
  <si>
    <t>HP 200 Pro G4 All-in-One PC (North America)</t>
  </si>
  <si>
    <t>Calculated by multiplying the estimated retail price of $550 USD for the HP 200 Pro G4 All-in-One PC (based on North American market listings for the Intel Core i3 configuration) by the US EPA Supply Chain Greenhouse Gas Emission Factor (v1.2, 2023) for "Electronic Computer Manufacturing" (NAICS 334111). The emission factor used is 0.112 kgCO2e per 2021 USD (purchaser price, including margins). Data source: US EPA Supply Chain GHG Emission Factors v1.2 (https://www.epa.gov/system/files/documents/2023-04/SupplyChainGHGEmissionFactors_v1.2_NAICS_CO2e_USD2021.csv).</t>
  </si>
  <si>
    <t>Calculated by multiplying the product's weight of 5.7 kg (as specified in the HP 200 Pro G4 22 All-in-One PC technical specifications for the unit with a basic stand) by the activity-based emission factor for "Material use: Electrical items - IT" (primary material production). The emission factor used is 24,865.48 kgCO2e per tonne (equivalent to 24.86548 kgCO2e/kg). Data source: UK Department for Energy Security and Net Zero (DESNZ) / DEFRA Greenhouse Gas Reporting Conversion Factors 2024 (https://www.gov.uk/government/publications/greenhouse-gas-reporting-conversion-factors-2024).</t>
  </si>
  <si>
    <t>The HP 200 Pro G4 All-in-One PC is an affordable, business-class desktop solution designed to maximize workspace efficiency by integrating a high-definition monitor and computer tower into a single, sleek unit. Tailored for the North American market, it features a 21.5-inch diagonal Full HD (1920 x 1080) IPS anti-glare display with a three-sided micro-edge bezel to provide an immersive viewing experience for collaboration and daily productivity. The device is powered by 10th or 12th Generation Intel Core or Pentium processors, supporting up to 32GB of DDR4 memory and various storage configurations including high-speed NVMe SSDs or high-capacity HDDs. For secure communication, it includes an integrated 5MP pull-up webcam that physically retracts to ensure privacy when not in use, alongside dual-array microphones and integrated stereo speakers.
The chassis is primarily constructed from durable, low-halogen synthetic polymers (ABS/PC plastic) with internal structural components made of galvanized steel and aluminum. Its slim stand is typically composed of a metal alloy core for stability, finished with a plastic exterior. Reflecting HP's sustainability initiatives, the PC is designed with environmental considerations, including ENERGY STAR® certification and EPEAT® registration in the United States, utilizing post-consumer recycled plastics in several components and shipping in 100% sustainably sourced, recyclable fiber-based packaging.</t>
  </si>
  <si>
    <t>Apple Mac Pro</t>
  </si>
  <si>
    <t>Calculated by multiplying the retail price of the base model Apple Mac Pro ($6,999) by the US EPA (USEEIO) spend-based emission factor for "Computer and peripheral equipment manufacturing" (NAICS 33411), which is 0.488 kgCO2e/USD. Source: US EPA Supply Chain Greenhouse Gas Emission Factors v1.1.1 (via Climatiq).</t>
  </si>
  <si>
    <t>Calculated by multiplying the product weight of the Apple Mac Pro tower (16.86 kg) by the activity-based emission factor for "IT equipment" manufacturing of 24.865 kgCO2e/kg. Source: UK Department for Environment, Food &amp; Rural Affairs (DEFRA) / BEIS 2021-2023 Greenhouse Gas Reporting Conversion Factors for material use (IT electrical items).</t>
  </si>
  <si>
    <t>The Apple Mac Pro is a high-performance, professional-grade desktop workstation designed to handle the most demanding computational workflows, such as 8K video transcoding, 3D simulation, and complex audio production. The current model is powered by the Apple M2 Ultra chip, which integrates a 24-core CPU and up to a 76-core GPU, providing massive processing power and support for up to 192GB of unified memory. A defining feature of the Mac Pro is its expandability; it includes six full-length PCI Express gen 4 slots that allow professionals to customize the machine with specialized audio, video, and storage cards. Physically, the Mac Pro is built with a striking stainless steel space frame and a removable, precision-machined aluminum housing designed for 360-degree access to internal components. The design includes an advanced thermal system that uses three large fans to pull air through a unique 3D lattice pattern on the front and back, keeping the system cool and quiet under heavy loads. It is available in both a tower configuration with stainless steel handles (and optional wheels) and a 5U rack-mount version for studio environments. In line with Apple's environmental goals, the enclosure is made from 70% recycled aluminum, and the internal components utilize 100% recycled rare earth elements in magnets, 100% recycled gold in circuit board plating, and 100% recycled tin in solder.</t>
  </si>
  <si>
    <t>HP Chromebook Enterprise 14 G7 (North America)</t>
  </si>
  <si>
    <t>Calculated by multiplying the product price ($475.00, sourced from SHI.com for the Enterprise configuration) by the US EPA Supply Chain Greenhouse Gas Emission Factor for "Electronic Computer Manufacturing" (NAICS 334111), which is 0.112 kgCO2e per 2021 USD (sourced from the US EPA Supply Chain Greenhouse Gas Emission Factors v1.2, released in April 2023: https://catalog.data.gov/dataset/supply-chain-greenhouse-gas-emission-factors-v1-2-by-naics-6).</t>
  </si>
  <si>
    <t>Calculated by multiplying the product quantity (1 unit) by an activity-based emission factor of 331 kgCO2e per unit for laptop production. This factor represents the average cradle-to-gate (manufacturing and supply chain) carbon footprint of a new laptop based on research of 230 specific laptop models (sourced from Circular Computing/Gocirclewise research: https://gocirclewise.com/blog/carbon-footprint-laptop/). The product weight of 1.54 kg (sourced from HP QuickSpecs) corresponds to an intensity of approximately 214.9 kgCO2e/kg.</t>
  </si>
  <si>
    <t>The HP Chromebook Enterprise 14 G7 (North America) is a durable 14-inch laptop designed for business and education environments, featuring ChromeOS with the Chrome Enterprise Upgrade for enhanced security and management. It is powered by Intel Celeron N4500 or N5100 processors, paired with up to 8GB of LPDDR4x RAM and up to 128GB of eMMC storage. The device offers a variety of 14-inch display options, including HD or FHD anti-glare panels with optional touch functionality and a 180-degree hinge. Weighing approximately 3.38 lbs (1.54 kg) with an 18.35mm profile, the chassis is constructed from a textured plastic exterior with rubberized grips on the lid and bottom for improved durability. Connectivity includes one USB Type-C port (Power Delivery and DisplayPort 1.4), two USB Type-A ports, HDMI 1.4, a microSD card reader, and Wi-Fi 6. Security features include a 720p HD privacy webcam with dual microphones, the Titan-C security chip, and a Nano Security Lock slot. In line with HP's sustainability goals, the laptop incorporates ocean-bound plastics in the speaker enclosures and comes in 100% sustainably sourced and recyclable packaging.</t>
  </si>
  <si>
    <t>HP DeskJet 2130 (North America)</t>
  </si>
  <si>
    <t>Spend-based calculation using the US EPA Supply Chain Greenhouse Gas Emission Factor for NAICS code 334118 (Computer Terminal and Other Computer Peripheral Equipment Manufacturing). The factor value is 0.196 kgCO2e per USD (purchaser price). Calculation: $49.99 (retail price) x 0.196 kgCO2e/USD = 9.80 kgCO2e. Source: US EPA Supply Chain Greenhouse Gas Emission Factors v1.2 (https://www.epa.gov/maintaining-supply-chain-ghg-emission-factors)</t>
  </si>
  <si>
    <t>Activity-based calculation using a unit-based emission factor for the cradle-to-gate (embodied) carbon footprint of an inkjet printer. A standard factor of 75 kgCO2e per unit for a "typical inkjet printer" is applied. This factor accounts for the raw material extraction and manufacturing phases. Source: Greenclick data as cited in the Kleen Strike (UK) Limited CDP Climate Change Information Request (https://www.kleenstrike.co.uk/carbon-footprint/)</t>
  </si>
  <si>
    <t>The HP DeskJet 2130 (North America) is a compact, entry-level all-in-one inkjet printer designed for home and small office use, specifically localized for the North American market to use HP 63 series ink cartridges. It provides three primary functions: color printing, flatbed scanning, and color copying. Utilizing HP Thermal Inkjet technology, it delivers print speeds of up to 7.5 pages per minute (ppm) for black text and 5.5 ppm for color documents, with a maximum optimized resolution of 4800 x 1200 dpi. The device features a simple control panel for straightforward operation and a space-saving design with a 60-sheet input tray and a 25-sheet output tray. It connects to computers exclusively via a Hi-Speed USB 2.0 port and lacks wireless connectivity.
The product is primarily constructed from high-durability plastic (such as PC/ABS and polypropylene) for its exterior housing and internal paper-handling components. The internal architecture consists of a combination of mechanical steel and aluminum for the frame and rollers, alongside electronic assemblies including printed circuit boards (PCBs) and stepper motors. The scanner unit features a glass bed for document placement. HP emphasizes sustainability in this model through an ENERGY STAR certified design that minimizes material types to facilitate easier recycling. Additionally, the compatible HP 63 ink cartridges are manufactured using up to 70% post-consumer recycled plastic through the HP Planet Partners program.</t>
  </si>
  <si>
    <t>Amazon Fire TV 75" Omni QLED Series (2nd Gen)</t>
  </si>
  <si>
    <t>Calculated by multiplying the product's retail price ($1,099.99) by the US EPA spend-based emission factor for "Radio and television broadcasting and wireless communications equipment manufacturing" (0.215 kgCO2e/USD). Source: EPA Supply Chain Greenhouse Gas Emission Factors v1.2 (released 2023) via Climatiq (https://www.climatiq.io/data/factor/electronics-type_radio_and_television_broadcasting_and_wireless_communications_equipment).</t>
  </si>
  <si>
    <t>Calculated by multiplying the product's weight (28.8 kg) by an activity-based emission factor for television manufacturing (31 kgCO2e per kg of product). Source: "Virtual production: A study on its environmental impact" (2021) which utilizes television manufacturing data from the French Agency for Ecological Transition (ADEME) carbon database (https://adrbi.ro/media/2513/virtual-production-environmental-impact-study.pdf).</t>
  </si>
  <si>
    <t>The Amazon Fire TV 75" Omni QLED Series (2nd Gen), released in late 2024, is an upgraded version of Amazon’s premium smart television line. This model features a 4K Ultra HD display with Quantum Dot technology (QLED) and represents a significant performance boost over the first generation. It features a new quad-core processor that is up to 40% faster and provides a brighter image (peaking at approximately 600–700 nits), which Amazon states is 60% brighter than the previous model. The second-generation 75-inch model doubles its local dimming capabilities to 192 individual zones (up from 96 in the 1st Gen) to significantly improve contrast and minimize light bloom. It supports a full suite of HDR formats, including Dolby Vision IQ and HDR10+ Adaptive, utilizing a built-in light sensor for automatic picture optimization.</t>
  </si>
  <si>
    <t>HP ENVY 4520 (Paper Included)</t>
  </si>
  <si>
    <t>The footprint was calculated by multiplying the retail price of the printer and the included paper by spend-based emission factors from the US EPA Supply Chain Greenhouse Gas Emission Factors (v1.1.1). The HP ENVY 4520 (MSRP $99.99) was categorized under "Computer terminals and other computer peripheral equipment" (0.196 kgCO2e/USD) and one ream of included paper (estimated $10.00) was categorized under "Stationery" (0.494 kgCO2e/USD). Total = (99.99 * 0.196) + (10.00 * 0.494) = 24.54 kgCO2e. Source: https://www.climatiq.io/data/activity/electronics-type_computer_terminals_other_computer_peripheral_equipment</t>
  </si>
  <si>
    <t>The footprint was calculated based on the weight of the printer (5.41 kg) and a standard ream of paper (2.5 kg). An industry-standard embodied carbon value of 75 kgCO2e was used for the inkjet printer unit (Source: Kleen Strike/Greenclick industry benchmark, https://www.kleenstrike.co.uk/). The paper component was calculated using an activity-based emission factor of 1.2 kgCO2e/kg for virgin A4 office paper (Source: https://www.ezeep.com/co2-neutral-printing/). Total = 75 + (2.5 * 1.2) = 78.00 kgCO2e.</t>
  </si>
  <si>
    <t>The HP ENVY 4520 is a compact, all-in-one thermal inkjet printer designed for home and small office use. This versatile device functions as a printer, scanner, and copier, specializing in "lab-quality" borderless photo printing and laser-quality document production. Key features include automatic two-sided (duplex) printing to save paper, a 2.2-inch (5.5 cm) monochrome touchscreen for easy navigation, and extensive wireless connectivity options such as Wi-Fi Direct, Apple AirPrint, and HP ePrint for mobile devices. It supports a monthly duty cycle of up to 1,000 pages and offers print speeds of up to 9.5 ppm for black and 6.8 ppm for color.
The printer's exterior is constructed primarily from a curved, matte-finish high-grade plastic housing designed with a low-profile aesthetic to fit in tight spaces. Its internal components consist of metal rails and gears for the print head carriage, a glass flatbed for the scanner, and electronic circuit boards for processing. This specific "Paper Included" bundle typically supplements the printer with a starter supply of media, often a 500-sheet ream of HP Bright White inkjet paper or a pack of HP Advanced Glossy Photo Paper, allowing for immediate use out of the box. Environmentally, the printer is Energy Star certified, and many of its compatible ink cartridges (such as the HP 63 or 302 series) are manufactured using up to 70% recycled plastic.</t>
  </si>
  <si>
    <t>HP HC241 Display (Asia Pacific)</t>
  </si>
  <si>
    <t>Calculated by multiplying the estimated retail price of $649 USD (based on market listings from B&amp;H and SHI for the HC241 model) by the spend-based emission factor for "Computers" from the US EPA Supply Chain Greenhouse Gas Emission Factors v1.2 (2023), which is 0.488 kgCO2e per USD.</t>
  </si>
  <si>
    <t>Calculated using an activity-based emission factor for the manufacturing of LCD monitors derived from the ADEME (French Agency for Ecological Transition) Base Empreinte database. The factor of 40 kgCO2e/kg represents the high-intensity production of flat-panel displays (including the LCD module and electronics). The weight used is 6.87 kg, which is the product's net weight including the stand as specified in the HP technical documentation.</t>
  </si>
  <si>
    <t>The HP Healthcare Edition HC241 is a 24-inch Clinical Review Monitor designed specifically for the rigorous demands of healthcare environments such as patient rooms, nurse stations, and medical carts. It features a 24-inch diagonal AHVA (Advanced Hyper-Viewing Angle) panel with a WUXGA resolution of 1920 x 1200 and a 16:10 aspect ratio, providing a larger vertical workspace compared to standard 1080p displays. The monitor is DICOM Part 14 compliant, ensuring high-quality, consistent grayscale imaging necessary for accurate clinical review of medical records and imagery. 
To support patient safety and infection control, the display is built for easy, repeatable sanitization. Its housing and optional stand are designed to withstand frequent cleaning with professional-grade germicidal wipes, and the front of the display is IP32-rated against water and dust ingress. It is also IEC 60601-1-2:2014 compliant for electrical safety near patients and staff. Connectivity options include HDMI 1.4, DisplayPort 1.2, VGA, and an integrated USB 2.0 hub for peripheral devices. 
The device is constructed with sustainability and health in mind, utilizing arsenic-free display glass, mercury-free LED backlighting, and low-halogen components. The exterior features a clinical-white finish suitable for medical aesthetics, and the screen is treated with an anti-glare, anti-static coating to ensure visibility under bright hospital lighting. Though optimized for clinical review and consultation, it is classified as a general-purpose computing device and is not intended for primary diagnostic use.</t>
  </si>
  <si>
    <t>Apple Mac Studio (M4 Max, 512GB SSD)</t>
  </si>
  <si>
    <t>The cradle-to-gate carbon footprint was calculated by multiplying the retail price of $1,999.00 by the spend-based emissions factor of 0.112 kgCO2e/USD. This factor is sourced from the US EPA Supply Chain Greenhouse Gas Emission Factors v1.3 (released July 2024), specifically for the category "Electronic Computer Manufacturing" (NAICS 334111), which includes workstations and desktop computers. Data source: https://catalog.data.gov/dataset/supply-chain-greenhouse-gas-emission-factors-v1-3-by-naics-6</t>
  </si>
  <si>
    <t>The cradle-to-gate carbon footprint was calculated by multiplying the product weight of 2.74 kg (6.1 lbs) by an activity-based emissions factor of 55 kgCO2e/kg. This factor represents the carbon intensity of high-end IT hardware manufacturing (specifically high-density PCs/laptops), derived from independent Life Cycle Assessment (LCA) data comparisons of high-performance computing equipment. Data source: https://maxeymoverley.com/carbon-footprint-of-electronics/ (citing industry-standard LCA data for high-end computing devices).</t>
  </si>
  <si>
    <t>The Apple Mac Studio (M4 Max, 512GB SSD) is a high-performance compact workstation designed for professional creative workflows, including 8K video editing, 3D rendering, and advanced AI processing. Introduced in March 2025, this model features the M4 Max chip with a 14-core CPU and 32-core GPU, delivering significant performance gains over previous generations. It is equipped with 36GB of unified memory and a 512GB SSD as standard. Connectivity includes four Thunderbolt 5 ports (up to 120Gb/s), 10Gb Ethernet, HDMI 2.1, and an SDXC card slot. The device is constructed with a strong emphasis on sustainability, featuring an enclosure and thermal module chassis made from 100% recycled aluminum. Internally, it utilizes 100% recycled gold in the plating of multiple printed circuit boards, 100% recycled rare earth elements in all magnets, and 100% recycled copper in multiple circuit boards. The system is also free of mercury, BFRs, and PVC, with at least 25% recycled plastic used in various internal components.</t>
  </si>
  <si>
    <t>AirPods Pro 3</t>
  </si>
  <si>
    <t>Price of $249 multiplied by the US EPA spend-based emission factor for "Radio and television broadcasting and wireless communications equipment manufacturing" (0.215 kgCO2e/USD). Source: US EPA Supply Chain Greenhouse Gas Emission Factors v1.2 (2023)</t>
  </si>
  <si>
    <t>Total product weight of 0.05509 kg (Buds: 11.1g, Case: 43.99g) multiplied by the UK Government (DEFRA/BEIS) activity-based emission factor for "Electronic devices" (24.865 kgCO2e/kg). Source: UK Government Greenhouse Gas Reporting Conversion Factors (2021)</t>
  </si>
  <si>
    <t>The AirPods Pro 3 are Apple's third-generation flagship wireless earbuds, designed to deliver high-fidelity audio with significantly enhanced active noise cancellation (ANC) and integrated health-tracking capabilities. They feature a refined, ergonomic design with a more contoured fit and a smaller stem, accompanied by new foam-infused silicone ear tips for improved passive isolation and security. Powered by the H2 chip, these earbuds offer twice the noise-cancelling performance of their predecessor, as well as features like Adaptive Audio, Conversation Awareness, and real-time Live Translation driven by Apple Intelligence. Key technical upgrades include an IP57 dust and water resistance rating, a battery life of up to 8 hours with ANC enabled, and a MagSafe charging case equipped with a second-generation Ultra Wideband chip for Precision Finding. A new health sensor allows for heart rate monitoring during workouts, while advanced software enables the device to function as a clinical-grade hearing aid for users with mild to moderate hearing loss.</t>
  </si>
  <si>
    <t>Amazon Fire TV 50" 4-Series (3rd Gen)</t>
  </si>
  <si>
    <t>The cradle-to-gate carbon footprint was calculated by multiplying the product's MSRP of $449.99 by the spend-based emission factor for "Audio and video equipment manufacturing" (NAICS 334300). The emission factor used is 0.215 kgCO2e per USD, derived from the US EPA Supply Chain Greenhouse Gas Emission Factors v1.2 (2019 data, released in 2023). Data source: https://www.epa.gov/maintaining-supply-chain-ghg-emission-factors</t>
  </si>
  <si>
    <t>The cradle-to-gate carbon footprint was calculated by multiplying the product's weight of 9.34 kg (20.6 lbs, excluding stand) by an activity-based emission factor for LED television manufacturing. The emission factor used is 15.4 kgCO2e/kg, which is a standard industry benchmark for LED-LCD televisions based on life cycle assessment (LCA) data (e.g., a baseline 32-inch LED TV at ~100 kgCO2e for 6.5 kg). Weight data source: Best Buy/Amazon technical specifications. Emission factor source: "Life Cycle Assessment Data for TV-LED," US EPA/SimaPro/Ecoinvent 2012/2016.</t>
  </si>
  <si>
    <t>The Amazon Fire TV 50" 4-Series (currently in its 2nd Generation, released in 2024) is an entry-level smart television designed to provide a comprehensive 4K entertainment experience at an affordable price point. It functions as both a high-definition display and a standalone streaming hub, featuring the integrated Fire TV operating system which provides native access to over 1.5 million movies and TV episodes from services like Netflix, Prime Video, and Disney+. The device supports 4K Ultra HD resolution (3840 x 2160) at a 60Hz refresh rate and is compatible with HDR10 and HLG formats to deliver enhanced contrast and color compared to standard 1080p sets. While it lacks the hands-free Alexa capabilities and Dolby Vision support found in the higher-end Omni Series, it includes the Fire TV Alexa Voice Remote Enhanced for navigation and smart home control. The television features a slim-bezel design and a housing made primarily of durable black plastics, enclosing a VA-type LED-backlit LCD panel. Connectivity is provided through four HDMI ports (including one HDMI 2.1 eARC), a USB 2.0 port, Ethernet, and an optical audio output.</t>
  </si>
  <si>
    <t>Samsung Neo QLED 75QN90C</t>
  </si>
  <si>
    <t>Calculated by multiplying the current retail price of $1,799.99 by the spend-based emissions factor for "Audio and video equipment manufacturing" (NAICS 3343) from the US EPA Supply Chain Greenhouse Gas Emission Factors v1.2, which is 0.2584 kgCO2e per USD (https://www.epa.gov/topo/supply-chain-greenhouse-gas-emission-factors-us-industries-and-commodities).</t>
  </si>
  <si>
    <t>Calculated by multiplying the product weight (without stand) of 34.1 kg by the activity-based emissions factor for "Average IT equipment" from the UK Government GHG Conversion Factors for Company Reporting (2021), which is 24.865 kgCO2e per kg (https://www.gov.uk/government/publications/greenhouse-gas-reporting-conversion-factors-2021).</t>
  </si>
  <si>
    <t>The Samsung Neo QLED 75QN90C is a premium 75-inch 4K Smart TV from the 2023 lineup, designed to deliver high-performance visuals through its Neo Quantum Matrix technology. This display system utilizes a massive grid of ultra-precise Quantum Mini LEDs that allow for localized dimming and granular light control, resulting in deep blacks, intense highlights, and 100% color volume as validated by Pantone. It is powered by the Neural Quantum Processor 4K, which uses 20 specialized AI networks to upscale lower-resolution content to near-4K quality scene-by-scene. For high dynamic range, it supports Neo Quantum HDR+ (HDR10+ Adaptive and Gaming), though it lacks Dolby Vision.</t>
  </si>
  <si>
    <t>Amazon Fire TV 65" Omni QLED Series (2nd Gen)</t>
  </si>
  <si>
    <t>Calculated by multiplying the product's MSRP of $799.99 (sourced from Best Buy and PCMag) by a spend-based emissions factor of 0.215 kgCO2e/USD. The emissions factor is for "Radio and television broadcasting and wireless communications equipment manufacturing" (NAICS 334220) from the EPA Supply Chain Greenhouse Gas Emission Factors v1.2, retrieved via Climatiq (https://www.climatiq.io/explorer/factors/electronics-type_radio_and_television_broadcasting_and_wireless_communications_equipment).</t>
  </si>
  <si>
    <t>Calculated by multiplying the product's weight of 20.59 kg (45.4 lbs without stand, sourced from Best Buy product specifications) by an activity-based emissions factor of 31 kgCO2e/kg. This factor represents the cradle-to-gate impact for display-centric equipment (specifically 40-49" televisions as a baseline for the category), sourced from the study "Virtual production: A study on its environmental impact" (https://adrbi.ro/media/2513/virtual-production-a-study-on-its-environmental-impact.pdf).</t>
  </si>
  <si>
    <t>The Amazon Fire TV 65" Omni QLED Series (2nd Gen), released in late 2024 as the 2025 model, is a refreshed version of Amazon’s flagship smart television. It features a 4K Quantum Dot (QLED) display with full-array local dimming, delivering significant performance upgrades including up to 60% higher peak brightness and a 40% faster quad-core processor compared to the first generation. The TV supports a wide range of HDR formats, including Dolby Vision IQ, HDR10+ Adaptive, HDR10, and HLG.</t>
  </si>
  <si>
    <t>Apple iPad (A16) 512GB</t>
  </si>
  <si>
    <t>The cradle-to-gate carbon footprint was calculated by multiplying the retail price of $649.00 (based on 2025 MSRP for the 512GB model) by the USEEIO (United States Environmentally-Extended Input-Output) emission factor for "Computers" (0.488 kgCO2e/USD). Data source: EPA Supply Chain Greenhouse Gas Emission Factors v1.1 via Climatiq (https://www.climatiq.io/data/factor/electronics-type_computers).</t>
  </si>
  <si>
    <t>The cradle-to-gate carbon footprint was calculated by multiplying the product weight of 0.477 kg (1.05 lbs) by an activity-based emission factor of 166.53 kgCO2e/kg. This factor was derived from the manufacturing-only portion (80% of total lifecycle) of the Lenovo Tab P11 Product Carbon Footprint (PCF) Information Sheet (102 kgCO2e total for a 0.49 kg device), which utilizes the PAIA (Product Attribute to Impact Algorithm) methodology. Data source: Lenovo Product Carbon Footprint (PCF) Information Sheet (2020) (https://static.lenovo.com/ww/docs/regulatory/compliance/pcf/Lenovo_Tab_P11_PCF.pdf).</t>
  </si>
  <si>
    <t>The Apple iPad (A16) 512GB is the eleventh-generation model of Apple's standard tablet lineup, designed for productivity, creativity, and entertainment. It features an 11-inch Liquid Retina display with a resolution of 2360-by-1640 pixels, 500 nits of brightness, and True Tone technology for comfortable viewing in various lighting conditions. This model is powered by the A16 chip, which includes a 5-core CPU, 4-core GPU, and a 16-core Neural Engine to handle multitasking, gaming, and 4K video editing. With 512GB of storage, it offers the highest storage capacity available for the standard iPad series, making it ideal for high-resolution media and professional applications.</t>
  </si>
  <si>
    <t>Amazon Fire TV 55" Omni QLED Series (2nd Gen)</t>
  </si>
  <si>
    <t>Calculated by multiplying the retail price ($589.99) by the US EPA Supply Chain Greenhouse Gas Emission Factor (v1.2) for "Audio and video equipment manufacturing" (NAICS 334310), which is valued at 0.215 kgCO2e per USD. Source: https://www.epa.gov/system/files/documents/2023-03/2023_ghg_emission_factors_hub.pdf</t>
  </si>
  <si>
    <t>Calculated based on the average cradle-to-gate production emissions for a television as reported in the UN Trade and Development Digital Economy Report 2024 and Statista. The report estimates total manufacturing emissions (materials and production) for a television at approximately 302 kgCO2e (derived from an 897 kgCO2e total lifecycle minus a 595 kgCO2e use phase). Source: https://www.statista.com/chart/32731/estimated-life-cycle-greenhouse-gas-emissions-of-electronic-devices/</t>
  </si>
  <si>
    <t>The Amazon Fire TV 55" Omni Mini-LED Series is the flagship model in Amazon's branded television lineup, representing a significant technological leap over the standard Omni QLED series. This model features a sophisticated Mini-LED QLED display that utilizes 512 precisely controlled dimming zones (with up to 1,344 zones on larger sizes) to achieve deep blacks and exceptional contrast. It delivers a peak brightness of up to 1,400 nits, ensuring vibrant colors and highlights that pop, even in well-lit rooms. Optimized for both home theater and gaming, the TV supports a native 144Hz refresh rate and includes HDMI 2.1 ports for 4K/120Hz (or 144Hz on PC) gaming with VRR and AMD FreeSync Premium Pro. It also supports premium HDR formats, including Dolby Vision IQ and HDR10+ Adaptive, which use an integrated ambient light sensor to automatically adjust the picture based on your room's lighting.</t>
  </si>
  <si>
    <t>Apple iMac (two ports) 256GB</t>
  </si>
  <si>
    <t>The retail price of $1,299 was multiplied by the spend-based emission factor of 0.488 kgCO2e/USD for the "Computers" category. Source: EPA Supply Chain Greenhouse Gas Emission Factors v1.2 (2023), derived from the USEEIO model. https://www.epa.gov/system/files/documents/2024-06/ghg-emission-factors-hub-june-2024.pdf</t>
  </si>
  <si>
    <t>The calculation uses an activity-based emission factor for a single "Desktop PC" unit, which is estimated at 800 kgCO2e (the midpoint of the 600–1,000 kgCO2e range for embodied emissions of a desktop computer system). Source: Quantum Lifecycle (2025) "Calculating the Carbon Footprint of Your IT Equipment." https://quantumlifecycle.com/blog/calculating-the-carbon-footprint-of-your-it-equipment/</t>
  </si>
  <si>
    <t>The Apple iMac (two ports, 256GB) is the base configuration of Apple’s ultra-thin 24-inch all-in-one desktop computer, currently powered by the M4 chip (and previously the M3 and M1). It is designed to be a complete workstation that combines a high-performance computer, display, speakers, camera, and microphones into a single integrated unit. This specific model is defined by its entry-level port configuration, featuring two Thunderbolt / USB 4 ports, and a 256GB solid-state drive (SSD) for storage. It is primarily used for everyday productivity, creative tasks like photo and video editing, and high-quality video conferencing via its integrated 12MP Center Stage camera (on M4 models) and studio-quality three-mic array.
The device features a 24-inch 4.5K Retina display with 500 nits of brightness and P3 wide color support, providing a sharp and vibrant visual experience. It includes a high-fidelity six-speaker system with force-cancelling woofers that supports Spatial Audio. For connectivity, it utilizes two high-speed Thunderbolt 4 ports (on the latest M4 version) for data transfer and external display support, along with a 3.5 mm headphone jack. The computer typically ships with a color-matched Magic Keyboard and Magic Mouse or Magic Trackpad.
In terms of construction, the iMac is built with a strong focus on sustainability. The enclosure is made from recyclable, low-carbon aluminum, and the L-shaped stand is constructed from 100% recycled aluminum. Internally, the device utilizes 100% recycled rare earth elements in all magnets, 100% recycled tin in the solder of multiple printed circuit boards, and 100% recycled gold in the plating of various components. The 4.5K display glass is arsenic-free, and the entire unit is free of harmful substances such as mercury, BFR, PVC, and beryllium.</t>
  </si>
  <si>
    <t>Apple Pro Display XDR with Pro Stand</t>
  </si>
  <si>
    <t>Calculated by multiplying the total product price of $5,998 ($4,999 for the Pro Display XDR and $999 for the Pro Stand) by the spend-based emission factor for "Computer terminals and other computer peripheral equipment" of 0.196 kgCO2e/USD. Data Source: US EPA Supply Chain Greenhouse Gas Emission Factors (USEEIO v1.1) via Climatiq.</t>
  </si>
  <si>
    <t>Calculated by multiplying the total product weight of 11.78 kg (7.48 kg for the display and 4.3 kg for the stand) by a cradle-to-gate activity-based emission factor for professional LCD monitors of 66.15 kgCO2e/kg. This factor is derived from the PAIA (Product Attribute to Impact Algorithm) methodology, which isolates the materials and manufacturing phases (approx. 40% of total lifecycle emissions) for high-density electronic displays. Data Source: PAIA / MIT Materials System Laboratory and Dell Product Carbon Footprint reports.</t>
  </si>
  <si>
    <t>The Apple Pro Display XDR is a professional-grade 32-inch Retina 6K monitor designed for high-end creative workflows. It features a resolution of 6016 x 3384 pixels at 218 ppi, delivering "Extreme Dynamic Range" (XDR) with a sustained brightness of 1,000 nits and a peak brightness of 1,600 nits. The display utilizes a 2D backlighting system with 576 full-array local dimming zones to achieve a 1,000,000:1 contrast ratio and supports the P3 wide color gamut with 10-bit color depth. Its exterior enclosure is crafted from low-carbon aluminum and features a distinctive lattice pattern machined into the rear that acts as a heat sink, facilitating quiet and efficient cooling.
The Pro Stand is a precision-engineered accessory made from solid aluminum that provides robust support and seamless adjustability for the display. It connects via a proprietary magnetic system with mechanical latches, allowing for effortless attachment and detachment. The stand offers 120 mm of height adjustment and a tilt range of –5° to +25°, maintaining the display's angle even as the height is shifted. Additionally, the stand enables the display to be rotated between landscape and portrait orientations with a simple unlocking slider. The unit is designed for durability and stability, featuring an integrated cable management hole to maintain a clean workspace.</t>
  </si>
  <si>
    <t>Samsung Galaxy S25</t>
  </si>
  <si>
    <t>Spend-based calculation using the US EPA Supply Chain Greenhouse Gas Emission Factors v1.3 (2024). The emission factor for "Telephone apparatus manufacturing" (NAICS 334210/334220) is 0.096 kgCO2e per USD (at 2022 prices). Calculation: $799.99 (retail price) * 0.096 kgCO2e/USD. Source: https://www.climatiq.io/data/factor/electronics-type_telephones</t>
  </si>
  <si>
    <t>Activity-based calculation using industry-average emissions for smartphone manufacturing and shipping. According to Deloitte Global (2022), the manufacturing, raw material extraction, and shipping of a new smartphone account for 95% of its first-year carbon footprint of 85 kgCO2e. Calculation: 85 kgCO2e * 0.95. Source: https://www2.deloitte.com/xe/en/insights/industry/technology/technology-media-and-telecom-predictions/2022/environmental-impact-smartphones.html</t>
  </si>
  <si>
    <t>The Samsung Galaxy S25 is a flagship high-end Android smartphone released in February 2025 as the successor to the Galaxy S24. It serves as the compact entry point to Samsung's premium S25 series, featuring a 6.2-inch Dynamic LTPO AMOLED 2X display with a 120Hz adaptive refresh rate and a peak brightness of 2,600 nits. The device is designed for high-performance mobile computing and photography, powered by the Snapdragon 8 Elite for Galaxy chipset and 12GB of RAM. It features an advanced triple-camera system, including a 50MP wide-angle main sensor, a 12MP ultra-wide lens, and a 10MP telephoto lens with 3x optical zoom, capable of recording 8K video at 30fps. A core component of the device is the integrated Galaxy AI suite, which provides features such as "Circle to Search," real-time call translation, generative photo editing, and automated note summarization.
The Galaxy S25 is constructed with a focus on durability and sustainability. It features a chassis made from "Armor Aluminum 2" and uses Corning Gorilla Glass Victus 2 for both the front display and the rear panel. The device is IP68-rated for dust and water resistance, allowing for immersion in up to 1.5 meters of water for 30 minutes. In line with Samsung's environmental initiatives, the phone incorporates various recycled materials, including recycled plastic, glass, and aluminum in its internal and external components. It is supported by a 4,000mAh battery with 25W wired and 15W wireless charging capabilities and is promised seven generations of OS and security updates.</t>
  </si>
  <si>
    <t>Apple MacBook Pro 14-inch with M4 Pro (512GB)</t>
  </si>
  <si>
    <t>Calculated by multiplying the retail price of the product ($1,999.00) by the spend-based emissions factor for "Electronic Computer Manufacturing" (NAICS 334111) from the US EPA Supply Chain Greenhouse Gas Emission Factors v1.3, which is 0.112 kgCO2e per USD (purchaser price). Source: US EPA Supply Chain GHG Emission Factors (https://www.epa.gov/maintaining-and-reporting-greenhouse-gas-emissions/supply-chain-emission-factors)</t>
  </si>
  <si>
    <t>Calculated using the activity-based emission factor for the manufacturing of a "Laptop" (Ordinateur portable) from the ADEME (French Agency for Ecological Transition) Base Empreinte database, which specifies 156 kgCO2e per unit for the cradle-to-gate (production) phase. Source: ADEME Base Empreinte (https://base-empreinte.ademe.fr/)</t>
  </si>
  <si>
    <t>The Apple MacBook Pro 14-inch with the M4 Pro chip is a high-performance professional laptop designed for demanding workflows like software development, video editing, and 3D rendering. It features a 14.2-inch Liquid Retina XDR display with a 3024-by-1964 native resolution, offering up to 1,600 nits peak brightness for HDR content and ProMotion technology for adaptive refresh rates up to 120Hz. The M4 Pro chip in this configuration typically includes a 12-core CPU (8 performance and 4 efficiency cores) and a 16-core GPU with hardware-accelerated ray tracing, paired with 24GB of unified memory and a 512GB SSD. Connectivity is headlined by three Thunderbolt 5 ports (offering up to 120Gb/s), an HDMI port supporting 8K displays, an SDXC card slot, and a MagSafe 3 charging port. It also includes a 12MP Center Stage camera, a six-speaker sound system with Spatial Audio, and a battery life of up to 22 hours. The device is constructed with a 100% recycled aluminum enclosure and utilizes 100% recycled rare earth elements in all magnets, recycled gold plating in circuit boards, and recycled tin in solder.</t>
  </si>
  <si>
    <t>Apple iPhone 17 512GB</t>
  </si>
  <si>
    <t>Calculated by multiplying the estimated retail price of $999 for the iPhone 17 512GB by the spend-based emission factor for "Broadcast and wireless communications equipment" (NAICS 334220), which is 182.89 kgCO2e per $1,000 (0.18289 kgCO2e/$). Data source: US EPA Supply Chain Greenhouse Gas Emission Factors v1.3 (released July 2024), available at https://catalog.data.gov/dataset/supply-chain-greenhouse-gas-emission-factors-v1-3-by-naics-6.</t>
  </si>
  <si>
    <t>Calculated using a unit-based activity factor of 85 kgCO2e per smartphone unit. This factor represents the average cradle-to-gate impact (raw material extraction, component manufacturing, and final assembly) for a high-end smartphone as established in the ecoinvent v3.10 database and industry benchmarks. Data source: ecoinvent v3.10 (2023) "Consumer electronics - mobile device - smartphone" and Deloitte Global "Making smartphones sustainable: Live long and greener" (2022) available at https://www2.deloitte.com/xe/en/insights/industry/technology/technology-media-and-telecom-predictions/2022/environmental-impact-smartphones.html.</t>
  </si>
  <si>
    <t>The Apple iPhone 17 512GB is a high-performance smartphone featuring a 6.3-inch Super Retina XDR OLED display with ProMotion technology, providing adaptive refresh rates up to 120Hz for fluid scrolling and an Always-On experience. Powered by the A19 chip built on a 3-nanometer process, it includes a 6-core CPU, a 5-core GPU with dedicated Neural Accelerators for on-device AI, and 8GB of RAM to support Apple Intelligence. This model offers 512GB of internal NVMe storage, catering to users with high demands for 4K video recording and local media. The device features an advanced dual-camera system with a 48MP Fusion main lens and a 48MP Ultra Wide lens, alongside an upgraded 18MP front-facing TrueDepth camera. Constructed with sustainability in mind, the iPhone 17 utilizes an enclosure made from 85% recycled aluminum and a frosted glass back, while the front is protected by Ceramic Shield 2 for enhanced scratch and impact resistance. It is rated IP68 for water and dust resistance and supports Wi-Fi 7, MagSafe wireless charging up to 25W, and fast charging capable of reaching 50% battery in approximately 20 minutes with a 40W adapter.</t>
  </si>
  <si>
    <t>Apple MacBook Air 15-inch with M4 (512GB SSD)</t>
  </si>
  <si>
    <t>The cradle-to-gate carbon footprint was calculated by multiplying the product's MSRP ($1,399 for the 512GB SSD model) by the spend-based emission factor for "Electronic Computer Manufacturing" (NAICS code 334111). The emission factor used is 0.112 kgCO2e per USD (2021 purchaser price, including margins), sourced from the U.S. EPA Supply Chain Greenhouse Gas Emission Factors v1.3 (released July 2024). Source: https://www.epa.gov/maintaining-supply-chain-emission-factors-and-useeio-models</t>
  </si>
  <si>
    <t>The cradle-to-gate carbon footprint was calculated using an activity-based emission factor for a laptop computer. The factor used is 172 kgCO2e per item, representing the embodied carbon (raw material acquisition and manufacturing) of a typical laptop, sourced from the Ecoinvent 3.8 database as cited in the Energy Changes 2024 Corporate Carbon Footprint report. Source: https://energy-changes.com/wp-content/uploads/2024/09/Corporate-Carbon-Footprint-2024.pdf</t>
  </si>
  <si>
    <t>The Apple MacBook Air 15-inch with the M4 chip is a high-performance, ultra-portable laptop designed for users who require a large-screen experience in a lightweight, fanless design. It features a 15.3-inch Liquid Retina display with a resolution of 2880 x 1864, 500 nits of brightness, and support for 1 billion colors with P3 wide color and True Tone technology. At its core is the M4 chip, featuring a 10-core CPU (4 performance and 6 efficiency cores) and a 10-core GPU with hardware-accelerated ray tracing, providing a significant boost for 4K video editing, complex multitasking, and AI-driven workflows via a 16-core Neural Engine. This specific model includes a 512GB SSD and is equipped with 16GB of unified memory (configurable up to 32GB).
Functionally, the device is built for "Apple Intelligence," enabling advanced privacy-focused AI features. It includes a 12MP Center Stage camera for high-quality video calls that keeps the subject framed, a six-speaker sound system with force-cancelling woofers for Spatial Audio, and a three-mic array. Connectivity is handled by two Thunderbolt 4 ports, a MagSafe 3 charging port, and a 3.5mm headphone jack. It offers exceptional battery life, providing up to 18 hours of video streaming and 15 hours of wireless web browsing on a single charge.
The MacBook Air 15-inch is constructed with a strong emphasis on sustainability. Its enclosure and trackpad gel plate are made from 100% recycled aluminum. The internal components utilize 100% recycled cobalt in the battery and MagSafe magnets, 100% recycled copper in the printed circuit boards and thermal sheet, and 100% recycled tin in the solder. Additionally, it incorporates 100% recycled gold in all cameras and circuit board plating, 90% recycled steel in the battery tray and keyboard plate, and 100% recycled rare earth elements in all magnets. The display glass contains 15% recycled content, while the trackpad glass is 100% recycled.</t>
  </si>
  <si>
    <t>Ring Wired Doorbell Plus (Plug In - 2nd Gen)</t>
  </si>
  <si>
    <t>Spend-based calculation using the US EPA Supply Chain Greenhouse Gas Emission Factor (v1.3) for "Other communications equipment manufacturing" (NAICS 334290), which is 0.35152 kgCO2e per USD. This factor was applied to the product's retail price of $179.99. Data source: US EPA Supply Chain Greenhouse Gas Emission Factors (https://catalog.data.gov/dataset/supply-chain-greenhouse-gas-emission-factors-v1-2-by-naics-6).</t>
  </si>
  <si>
    <t>Activity-based calculation using a cradle-to-gate emission factor of 68.1 kgCO2e per kg, derived from life cycle assessment (LCA) data for smart security cameras and signaling equipment. This factor was applied to the total product weight of 0.347 kg, which includes the doorbell unit (0.22 kg) and the required plug-in power adapter (0.127 kg). Data source: "LCA of a Network Camera" Swedish MSc Thesis/Axis Communications (https://www.diva-portal.org/smash/get/diva2:1115160/FULLTEXT01.pdf).</t>
  </si>
  <si>
    <t>The Ring Wired Doorbell Plus (Plug-In - 2nd Gen) is a premium hardwired smart doorbell that provides high-definition security and monitoring for home entrances. It features "Retinal 2K" video quality with a 1920 x 1920 QHD resolution and HDR, offering a "Head-to-Toe" 1:1 aspect ratio that allows users to see visitors fully and check for packages on the ground. Key functional features include radar-powered 3D Motion Detection for precise alerts, Bird’s Eye View to track motion paths on an overhead map, and "Low-Light Sight" for clear color video in dim conditions. It also supports Two-Way Talk with noise cancellation, Advanced Color Pre-Roll (capturing video before a motion alert is triggered), and dual-band Wi-Fi 6 connectivity for a more stable connection.
The device is constructed with a focus on sustainability and durability, made from 29% recycled materials overall. Its internal aluminum components are 98% recycled, and the plastic housing consists of 45% post-consumer recycled plastic. The unit features a weather-resistant design capable of operating in temperatures ranging from -4°F to 120°F and comes with a removable Nickel Silver faceplate (with other finishes available separately). This specific "Plug-In" version includes a 2nd Generation Plug-In Adapter for easy installation via a standard indoor power outlet, eliminating the need for existing doorbell wiring.</t>
  </si>
  <si>
    <t>Apple iPhone Air (256GB)</t>
  </si>
  <si>
    <t>Calculated by multiplying the retail price of $999 by a spend-based emission factor of 0.134 kgCO2e per USD. This factor is derived from the US EPA Supply Chain Greenhouse Gas Emission Factors v1.3 (2024) for the category "Broadcast and wireless communications equipment" (NAICS 334220), which accounts for the full supply chain emissions of the product including manufacturing and upstream activities. Source: https://catalog.data.gov/dataset/supply-chain-greenhouse-gas-emission-factors-v1-3-by-naics-6</t>
  </si>
  <si>
    <t>Calculated using an activity-based sum of cradle-to-gate component emissions: 45 kg CO2e for integrated circuits (A19 Pro 3nm SoC, 256GB NVMe, and modem), 5 kg for the 6.5" OLED display, 3 kg for the 3149 mAh battery, 2 kg for the Grade 5 titanium frame, 4 kg for other materials (glass, copper, gold), and 12 kg for final assembly and manufacturing energy. Factors are based on independent semiconductor node emission analysis and smartphone manufacturing impact studies. Sources: https://www.techinsights.com/blog/global-semiconductor-carbon-emissions-forecast-2025-2030; https://www2.deloitte.com/xe/en/insights/industry/technology/technology-media-and-telecom-predictions/2022/sustainable-smartphones.html</t>
  </si>
  <si>
    <t>The Apple iPhone Air (256GB) is an ultra-slim, lightweight smartphone designed as a "lifestyle" flagship, prioritizing portability and high-end aesthetics. Released in September 2025 as part of the nineteenth generation of iPhones, it is the thinnest iPhone ever manufactured, measuring just 5.6mm in depth. It features a 6.5-inch Super Retina XDR OLED display with ProMotion technology for a 120Hz adaptive refresh rate and a peak outdoor brightness of 3,000 nits. Internally, it is powered by the A19 Pro chip with 12GB of RAM and debuts Apple’s custom-designed C1X cellular modem. The device operates as an eSIM-only phone, supporting high-speed 5G and Wi-Fi 7. It is equipped with a single 48MP "Fusion" rear camera that provides 2x optical-quality zoom and an 18MP Center Stage front camera for enhanced video calls.</t>
  </si>
  <si>
    <t>Amazon Echo Show 11 (2025 Release)</t>
  </si>
  <si>
    <t>Calculated by multiplying the retail price ($219.99) by the US EPA Supply Chain GHG Emission Factor for "Audio and Video Equipment Manufacturing" (NAICS 334300), which is 0.124 kgCO2e per 2021 USD (purchaser price). Source: EPA Supply Chain Greenhouse Gas Emission Factors v1.1, https://www.epa.gov/main-report-supply-chain-greenhouse-gas-emission-factors-v11</t>
  </si>
  <si>
    <t>Calculated by multiplying the product weight (1.302 kg) by an activity-based emission factor for smart displays/tablets. The factor used is 23.5 kgCO2e/kg, representing the average cradle-to-gate manufacturing intensity for touch-screen consumer electronics. Source: ADEME Base Empreinte (French Agency for Ecological Transition) - "Tablette tactile", https://base-empreinte.ademe.fr/</t>
  </si>
  <si>
    <t>The Amazon Echo Show 11 (2025 Release) is a premium smart home display featuring a 10.95-inch Full HD (1920 x 1200) touchscreen mounted on a "floating" speaker base. Designed to serve as a central hub for the modern smart home, it is powered by Amazon's custom AZ3 Pro silicon chip and runs on the Vega operating system. The device is specifically engineered for the AI-enhanced Alexa+ assistant, offering generative AI-driven natural conversations and proactive home automation. Its internal "Omnisense" sensor suite includes presence detection, ambient light, and temperature sensors to trigger routines automatically. For entertainment, the Echo Show 11 supports spatial audio via a refined architecture consisting of dual front-facing full-range drivers and a 2.8-inch woofer. It includes a centered 13-megapixel camera with auto-framing and 3.3x zoom for high-quality video calls and home monitoring. Connectivity is robust with support for Wi-Fi 6E, Zigbee, Matter, and Thread, allowing it to control thousands of smart devices without additional hardware. The exterior is constructed from premium 3D knit fabric wrapped around a mostly spherical base, while the display features an edge-to-edge glass front with a negative liquid crystal design for enhanced brightness and reduced reflection. Privacy controls include a physical microphone/camera disconnect button and an electronic camera disable feature, though it omits the physical sliding shutter found on older models to maintain its slim bezel profile.</t>
  </si>
  <si>
    <t>Samsung Galaxy Z Fold7</t>
  </si>
  <si>
    <t>Calculated by multiplying the estimated retail price of the Samsung Galaxy Z Fold7 (£1,799 for the 256GB base model) by the 2025 DEFRA/BEIS spend-based emission factor for "Computer, electronic and optical products" (0.507436829482 kgCO2e per GBP). Data source: UK Department for Environment, Food &amp; Rural Affairs (DEFRA) / BEIS "UK and England's carbon footprint to 2022" dataset, released in 2025 (https://www.gov.uk/government/statistics/uk-and-englands-carbon-footprint).</t>
  </si>
  <si>
    <t>Calculated using a per-unit activity-based emission factor for high-end smartphone manufacturing. Research from the Fraunhofer Institute, Deloitte, and academic studies (e.g., ResearchGate) estimates the average cradle-to-gate (production phase) carbon footprint of a high-performance smartphone at approximately 70 kgCO2e. This factor accounts for the extraction of raw materials (lithium, cobalt, gold), semiconductor fabrication, and assembly of complex components like the 8-inch foldable AMOLED display and advanced camera systems. Data source: "Typical carbon footprint generated over a smartphone lifetime," ResearchGate/Deloitte Global (https://www.researchgate.net/figure/Typical-carbon-footprint-in-kg-CO2-equivalent-generated-over-a-smartphone-lifetime_fig1_354247594).</t>
  </si>
  <si>
    <t>The Samsung Galaxy Z Fold7 is a premium foldable flagship smartphone that combines the portability of a traditional phone with the expansive productivity of a tablet. It features an 8.0-inch Foldable Dynamic LTPO AMOLED 2X main display with a 120Hz adaptive refresh rate and a peak brightness of 2600 nits, protected by a specialized foldable layer and supported by an internal Grade 4 Titanium Lattice for enhanced structural integrity. The exterior "cover" screen is a 6.5-inch Dynamic LTPO AMOLED 2X panel, allowing for standard smartphone use when the device is closed.</t>
  </si>
  <si>
    <t>Kindle Scribe Colorsoft 64GB (1st Gen, 2025 Release)</t>
  </si>
  <si>
    <t>Calculated by multiplying the retail price of the product ($679.99) by the spend-based emissions factor for "Electronic computer manufacturing" (NAICS 334111) from the United States Environmentally-Extended Input-Output (USEEIO) v1.1 database, which is 0.228 kgCO2e per USD. Price source: Tom's Guide and Notebookcheck (2025 Release).</t>
  </si>
  <si>
    <t>Calculated using an activity-based material breakdown for a 400g e-reader: 11-inch E Ink Colorsoft (Kaleido 3) display module (estimated 12.0 kgCO2e based on area-scaling of E Ink Holdings' verified 3.30 kgCO2e factor for 6.8-inch modules), 50g Printed Circuit Board Assembly (estimated 12.0 kgCO2e using a factor of 240 kgCO2e/kg for high-complexity electronics), 55g Lithium-ion battery (0.6 kgCO2e at 11 kgCO2e/kg), 150g recycled aluminum housing (0.4 kgCO2e at 2.5 kgCO2e/kg), and 45g miscellaneous plastics/glass/packaging (~2.0 kgCO2e). A 30% overhead was added for manufacturing energy (assembly) and cradle-to-gate transport. Material data sources: E Ink Holdings, ResearchGate, and Amazon Sustainability specifications.</t>
  </si>
  <si>
    <t>The Kindle Scribe Colorsoft (64GB) is Amazon's first large-format color e-reader and digital notebook, released in 2025. It features an 11-inch Colorsoft display built on a custom oxide backplane, offering a paper-like experience with 300 ppi resolution for black-and-white text and approximately 150 ppi for color content. This specialized display technology utilizes a color filter and a light guide with nitride LEDs to deliver high-contrast, vibrant colors without the glare or eye strain typical of LCD screens. The device is housed in a slim 5.4mm aluminum chassis and features a textured glass screen that provides tactile friction for writing. It comes with a battery-free Premium Pen that supports color highlighting and sketching, with a built-in eraser and programmable shortcut button. Software capabilities include AI-powered notebook tools for summarizing and refining handwriting, "Active Canvas" for in-book annotations, and direct integration with cloud services like Google Drive and Microsoft OneDrive. The 64GB model provides extensive storage for large PDF documents, graphic novels, and extensive notebook libraries, while the battery lasts up to 8 weeks for reading or approximately 2 weeks for regular writing.</t>
  </si>
  <si>
    <t>Samsung ViewFinity S32D80*E (LS32D800EAUXEN)</t>
  </si>
  <si>
    <t>The cradle-to-gate carbon footprint was calculated by multiplying the product's MSRP of $499.99 (sourced from Samsung US) by the spend-based emissions factor for "Computer, electronic and optical products" of 0.645 kgCO2e per USD. This factor is derived from the PSCI (Pharmaceutical Supply Chain Initiative) Scope 3 Greenhouse Gas Emissions Guidance (2023), which utilizes the EXIOBASE 3.8.2 EEIO database.</t>
  </si>
  <si>
    <t>The cradle-to-gate carbon footprint was calculated by multiplying the product's total package weight of 8.9 kg (sourced from the official Samsung product specifications) by an activity-based emissions factor of 40 kgCO2e per kg. This factor represents the industry average for high-complexity consumer electronics (monitors) as cited in carbon accounting frameworks like the ADEME Base Empreinte and Quantum Lifecycle IT equipment estimates (2025).</t>
  </si>
  <si>
    <t>The Samsung ViewFinity S32D80*E (LS32D800EAUXEN) is a 32-inch 4K UHD (3840 x 2160) professional monitor from the S80D series, designed for graphic designers, content creators, and office professionals who require high-resolution clarity and color precision. It features a flat VA panel with a 16:9 aspect ratio, delivering a typical brightness of 350 cd/m² and a high static contrast ratio of 3000:1. The display supports 1.07 billion colors (10-bit) with 99% sRGB coverage and HDR10, ensuring vibrant and lifelike visual reproduction for detailed projects.
Functionally, the monitor is built for productivity and eye comfort. It includes TUV-certified "Intelligent Eye Care" features like Eye Saver Mode and Flicker-Free technology to reduce strain during long sessions, along with Adaptive Picture, which automatically adjusts brightness based on ambient lighting. For multitasking, it supports Picture-by-Picture (PBP) and Picture-in-Picture (PIP) modes. Connectivity is handled through an HDMI 2.0 port, a DisplayPort 1.2, and a built-in USB 3.0 hub with three USB-A ports. It also features a fully ergonomic stand with height adjustment (HAS), tilt, swivel, and pivot capabilities.
The monitor is constructed with a strong focus on sustainability. The plastic casing is finished in matte black and is manufactured without chemical sprays. Its rear cover contains at least 10% recycled content, including 5% post-consumer recycled polycarbonate (PC) and 5% ocean-bound polyethylene terephthalate (PET). The stand is composed of at least 35% post-consumer recycled ABS plastic. The product also uses eco-friendly packaging that replaces staples with glue to facilitate easier recycling.</t>
  </si>
  <si>
    <t>Amazon Kindle Scribe 64GB (3rd Gen, 2025 Release)</t>
  </si>
  <si>
    <t>This calculation uses a spend-based methodology by multiplying the product's retail price ($549.00 for the 64GB model) by the US Environmental Protection Agency (EPA) Supply Chain Greenhouse Gas Emission Factor for "Computer and peripheral equipment manufacturing" (NAICS 334111). The emission factor used is 0.198 kg CO2e per USD (from the EPA Supply Chain Greenhouse Gas Emission Factors for US Industries, v1.2, 2023/2024 update).</t>
  </si>
  <si>
    <t>This calculation uses an activity-based (material-weight) methodology based on the product's weight of 0.4 kg (400g). The total is the sum of component-level emissions: 1) E-ink Display (11-inch): 8.65 kg CO2e (scaled from E Ink Holdings' BSI-verified factor of 3.30 kg CO2e for a 6.8-inch module); 2) Lithium-ion Battery (~0.06 kg): 1.08 kg CO2e (based on 18 kg CO2e/kg factor); 3) Recycled Aluminum Chassis (~0.15 kg): 0.53 kg CO2e (based on 3.5 kg CO2e/kg for recycled aluminum); 4) PCB and Electronics (~0.03 kg): 0.75 kg CO2e (based on 25 kg CO2e/kg); 5) Manufacturing &amp; Assembly: 30.00 kg CO2e (using the ADEME/GMSF 1.2 default for "Tablet" embodied manufacturing emissions). Data sources include E Ink Holdings (eink.com), EPA Supply Chain factors, and the ADEME "Numérique 2.0" dataset (2025).</t>
  </si>
  <si>
    <t>The Amazon Kindle Scribe 64GB (3rd Gen, 2025 Release) is a high-capacity, dual-purpose digital device that functions as both a premium e-reader and a sophisticated digital notebook. This third-generation model features a redesigned, ultra-thin 5.4mm chassis and a larger 11-inch glare-free E Ink display with a 300 ppi resolution. It is engineered for productivity, offering 40% faster page turns and writing performance compared to previous generations. The device includes a redesigned Premium Pen that attaches magnetically and features a dedicated eraser and shortcut button. A key software highlight is the "Active Canvas" feature, which allows users to write directly within book pages, with the text automatically flowing around the handwritten notes. It also incorporates AI-powered tools for searching handwritten notes and generating summaries.
The Kindle Scribe is constructed with a premium aluminum chassis and features a new texture-molded glass screen designed to provide a natural, paper-like friction when writing. The display uses a miniaturized LED front-light system for uniform, adjustable warm lighting and is framed by distinct white bezels to mimic the look of traditional paper. As part of Amazon's sustainability efforts, the device is typically built using recycled aluminum and plastics. With 64GB of storage, it can hold thousands of books and hundreds of detailed notebooks, supporting seamless integration with cloud services like Google Drive, Microsoft OneDrive, and OneNote.</t>
  </si>
  <si>
    <t>Ring Indoor Cam Plus</t>
  </si>
  <si>
    <t>Spend-based calculation using the retail price of $59.99 and the USEEIO v1.2 emission factor for "Audio and Video Equipment Manufacturing" (NAICS 334300), which is 0.124 kgCO2e per 2021 USD (Source: EPA Supply Chain Greenhouse Gas Emission Factors v1.2, https://www.epa.gov/maintaining-supply-chain-ghg-emission-factors-v12).</t>
  </si>
  <si>
    <t>Activity-based calculation using the product weight of 0.2767 kg (0.61 lbs) and the UK Government (BEIS/DEFRA) emission factor for "IT equipment" of 24.865 kgCO2e per kg (Source: UK Government GHG Conversion Factors for Company Reporting, https://www.gov.uk/government/publications/greenhouse-gas-reporting-conversion-factors-2024).</t>
  </si>
  <si>
    <t>The Ring Indoor Cam Plus is a compact, plug-in security camera designed for comprehensive indoor monitoring with high-definition clarity. It features "Retinal 2K" video quality (2560 x 1440 resolution) and a 115-degree horizontal field of view, providing a sharp and wide perspective of any room. The camera is equipped with an AI-enhanced 4x digital zoom and "Low-Light Sight" technology, which enables color video in near-dark conditions and switches to infrared night vision for total darkness. A key feature is the manual, integrated privacy swivel cover that physically blocks the lens and disables video recording when closed. It also includes two-way talk functionality with noise cancellation, allowing users to hear and speak to people or pets through the Ring app.
The device is constructed with a durable plastic housing, available in black or white finishes, and features a versatile tilt-and-swivel base that allows for placement on flat surfaces or mounting on walls and ceilings. It is powered by a continuous plug-in connection using an included 6.5-foot USB-C cable and power adapter. Advanced software capabilities include motion-activated notifications and generative AI-powered event descriptions (available with a Ring Protect subscription), providing detailed summaries of detected activity.</t>
  </si>
  <si>
    <t>Amazon Echo Show 8 (2025 Release)</t>
  </si>
  <si>
    <t>The cradle-to-gate carbon footprint was calculated by multiplying the retail price ($179.99) by a spend-based emission factor of 0.260 kgCO2e/USD. This emission factor is derived from the "Electronic Computer Manufacturing" category (NAICS 334111) as provided in the IAEG (International Aerospace Environmental Group) and US EPA Supply Chain Greenhouse Gas Emission Factors datasets (e.g., v1.3 released in 2024). Source: [EPA Supply Chain GHG Emission Factors v1.3](https://catalog.data.gov/dataset/supply-chain-greenhouse-gas-emission-factors-v1-3-by-naics-6) and [IAEG GHG Reporting Guidance](https://www.iaeg.com/).</t>
  </si>
  <si>
    <t>The cradle-to-gate carbon footprint was calculated by multiplying the product weight (approximately 1.049 kg or 37 oz) by an activity-based emission factor for electronic devices. The factor used is 24.865 kgCO2e/kg, which is a standard average carbon intensity for electronic (IT) devices calculated by the UK Government (DEFRA/BEIS) for lifecycle assessments of consumer electronics. Source: [UK Government GHG Conversion Factors for Company Reporting](https://www.gov.uk/government/collections/government-conversion-factors-for-company-reporting) and [Maxey Moverley Carbon Footprint of Electronics report](https://www.maxeymoverley.com/).</t>
  </si>
  <si>
    <t>The Amazon Echo Show 8 (2025 Release), also known as the 4th Generation, is a versatile smart display designed to act as a central command center for the modern smart home. It features a significant design overhaul from previous iterations, moving to a "floating" 8.7-inch HD touchscreen (1340 x 800 resolution) mounted on a rounded, pill-shaped speaker base. This model is powered by the AZ3 Pro processor with a dedicated AI Accelerator, specifically optimized to run "Alexa+," Amazon's next-generation generative AI assistant that enables more natural, fluid conversations and complex task handling.
The device serves as a robust smart home hub with built-in support for Matter, Thread, and Zigbee, allowing users to control thousands of compatible devices directly. A key addition is Omnisense technology, which uses a combination of ultrasound and Wi-Fi radar for precise presence detection, enabling the device to trigger personalized routines automatically when someone enters the room. For entertainment and communication, it houses a 13 MP auto-framing camera with 3.3x zoom and a revamped audio system featuring spatial sound through two full-range drivers and a 2.8-inch woofer. While it includes electronic microphone and camera disconnect buttons, it notably removes the physical sliding camera shutter found on earlier generations to maintain its slim, modern aesthetic.
The Echo Show 8 (2025) is constructed using a high-quality plastic chassis for the display housing and a premium 3D knit mesh fabric that wraps the speaker base. It is available in Graphite and Glacier White finishes. In line with Amazon’s sustainability initiatives, the device incorporates recycled materials into the fabric and plastic components, and it is shipped in 100% recyclable wood-fiber-based packaging.</t>
  </si>
  <si>
    <t>HP 11 inch Tablet PC (North America)</t>
  </si>
  <si>
    <t>Calculated by multiplying the product's MSRP of $599.99 by the EPA spend-based emission factor for "Computers" (NAICS 334111), which is 0.488 kgCO2e per USD. Source: EPA Supply Chain Greenhouse Gas Emission Factors for US Industries and Commodities (2020) - https://www.epa.gov/sites/default/files/2020-07/documents/supply_chain_ghg_emission_factors_0.pdf</t>
  </si>
  <si>
    <t>Calculated using the product's total weight of 0.903 kg (1.45 lbs for the tablet and 0.54 lbs for the detachable keyboard) and an activity-based emission factor of 100 kgCO2e per kg for tablet devices. This factor is derived from industry-average embodied emissions for tablets, which range from 70 to 110 kgCO2e per unit. Source: Quantum Lifecycle "Calculating the Carbon Footprint of Your IT Equipment" (2025) - https://quantumlifecycle.com/blog/calculating-the-carbon-footprint-of-your-it-equipment/</t>
  </si>
  <si>
    <t>The HP 11 inch Tablet PC is a versatile, portable Windows device designed for productivity, collaboration, and creative work on the go. Its most distinctive feature is a motorized, rotatable 13-megapixel camera that can flip 180 degrees to serve as either a high-resolution front-facing webcam or a rear-facing camera. This camera supports "Auto Frame" to keep users centered during video calls and can be tilted to show work on a desk or tabletop. The tablet is engineered for flexibility, featuring a magnetic kickstand and a detachable keyboard that allow it to be used in both landscape and portrait orientations, a rarity for Windows tablets.
The device features an 11-inch 2.1K (2160 x 1440) IPS touchscreen with a 3:2 aspect ratio, which provides more vertical screen space for reading and web browsing. It is powered by an Intel Pentium Silver N6000 processor, typically paired with 4GB or 8GB of RAM and 128GB of SSD storage, running Windows 11 Home in S mode. Additional features include a fingerprint reader integrated into the power button, Wi-Fi 6 connectivity, and support for the HP Rechargeable Tilt Pen.
The tablet is constructed with a "Natural Silver" aluminum chassis and a front panel made of scratch-resistant Corning Gorilla Glass 5. In line with HP's sustainability goals, the device incorporates eco-friendly materials, including ocean-bound plastics in the speaker enclosures and post-consumer recycled plastics in its internal components.</t>
  </si>
  <si>
    <t>Apple Watch Series 11, Titanium Case with Sport Loop</t>
  </si>
  <si>
    <t>Calculated by multiplying the retail price of $699 (starting price for Apple Watch Series 11 Titanium) by a spend-based emissions factor of 0.258 kgCO2e/$ for "Electronic Computer Manufacturing" (NAICS 334111) as defined in the US EPA Supply Chain Greenhouse Gas Emission Factors v1.3 (2024 update). Source: https://catalog.data.gov/dataset/supply-chain-greenhouse-gas-emission-factors-v1-3-by-naics-6</t>
  </si>
  <si>
    <t>Calculated by multiplying the total product weight of 53.1g (43.1g for the 46mm Titanium Case and approximately 10g for the Sport Loop) by an activity-based emissions factor of 850 kgCO2e/kg for high-complexity wearable electronics. This factor accounts for the high-intensity manufacturing of semiconductors, sapphire crystal, and titanium processing, based on lifecycle assessment data from the Oeko-Institut and Ecoinvent v3.8. Source: https://www.oeko.de/en/publications/p-details/the-carbon-footprint-of-our-digital-lifestyles</t>
  </si>
  <si>
    <t>The Apple Watch Series 11 is a premium smartwatch that blends advanced health monitoring with durable, sustainable materials. This specific configuration features a case crafted from 100% recycled aerospace-grade titanium, providing a lightweight yet incredibly strong housing with a polished finish. The display is protected by a nearly scratch-proof sapphire crystal, shielding an Always-On Retina LTPO3 OLED display that reaches up to 2000 nits of brightness for clear visibility in direct sunlight. It is powered by the S10 SiP, which enables smooth performance and advanced "Apple Intelligence" features like Workout Buddy.
Key health and safety features include hypertension notifications, sleep apnea detection, an ECG app, blood oxygen monitoring, and the Vitals app for tracking overnight health metrics. It also includes a depth gauge (up to 6m) and water temperature sensor for aquatic activities. The watch is paired with the Sport Loop, a carbon-neutral band made from soft, breathable double-layer nylon weave. The band features a hook-and-loop fastener for quick and easy adjustment and is constructed with at least 30% recycled content. Standard on all titanium models is 5G cellular connectivity, allowing for calls, texts, and music streaming without a nearby iPhone. The device offers all-day battery life (up to 24 hours of normal use or 38 hours in Low Power Mode) and supports fast charging, reaching an 80% charge in approximately 30 minutes.</t>
  </si>
  <si>
    <t>Apple Watch Series 11, Aluminum Case with Sport Loop</t>
  </si>
  <si>
    <t>Calculated by multiplying the product's retail price ($399.00 for the 42mm Aluminum model) by the EPA USEEIO spend-based emission factor for the category "Watches/clocks and other measuring and controlling devices" (0.193 kgCO2e/USD). Source: EPA Supply Chain GHG Emission Factors v1.2 via Climatiq (https://www.climatiq.io/data/activity/electronics-type_watches_clocks_other_measuring_controlling_devices)</t>
  </si>
  <si>
    <t>Calculated by multiplying the total product weight (0.0413 kg) by the UK Government (DEFRA) activity-based emission factor for "Electronic devices" (24.865 kgCO2e/kg). The total weight is derived from the Apple Watch Series 11 42mm aluminum case (30.3g) and the Sport Loop band (approx. 11g). Source: UK Department for Environment, Food &amp; Rural Affairs (DEFRA) Greenhouse Gas Reporting Conversion Factors (https://www.gov.uk/government/publications/greenhouse-gas-reporting-conversion-factors-2021)</t>
  </si>
  <si>
    <t>The Apple Watch Series 11 is a premium smartwatch that maintains the refined, ultra-thin 9.7mm design while introducing key upgrades in connectivity and health monitoring. It features an Always-On Retina LTPO3 OLED display with wide-angle technology for clear visibility from any angle and up to 2000 nits of peak brightness. Powered by the S10 SiP, the Series 11 introduces groundbreaking hypertension notifications and is the first in the lineup to offer 5G cellular connectivity (on cellular models) for faster data speeds and improved signal strength. It continues to provide a comprehensive suite of health sensors, including an electrical heart sensor for ECGs, a blood oxygen sensor, and a temperature sensor, alongside sleep apnea notifications and a new Sleep Score feature.</t>
  </si>
  <si>
    <t>Apple TV 4K (3rd generation) with Siri Remote (64GB)</t>
  </si>
  <si>
    <t>Calculated by multiplying the product's MSRP ($129.00) by the US EPA Supply Chain Greenhouse Gas Emission Factor for the category "Audio and video equipment manufacturing" (NAICS 334310), which is 0.215 kgCO2e per USD (purchaser price, 2021 USD). Source: US EPA Supply Chain Greenhouse Gas Emission Factors v1.2 (released 2023), https://www.epa.gov/maintaining-supply-chain-ghg-emission-factors</t>
  </si>
  <si>
    <t>Calculated using a per-unit activity-based emission factor for a "Décodeur / Box TV" (Set-top box), which provides a standard cradle-to-gate (production phase) value of 60 kgCO2e per unit. Source: ADEME (French Agency for Ecological Transition) Base Empreinte database, https://base-empreinte.ademe.fr/ (referenced via French government environmental impact studies for digital devices).</t>
  </si>
  <si>
    <t>The Apple TV 4K (3rd generation) is a high-performance streaming media player designed to deliver a cinematic entertainment experience. This model features 64GB of internal storage and is powered by the A15 Bionic chip, which provides a 50 percent increase in CPU performance and a 30 percent increase in GPU performance over the previous generation for faster app loading and smoother gameplay. It supports 4K Dolby Vision, HDR10+, and HDR10 for exceptional picture quality, alongside Dolby Atmos for immersive spatial audio, and Dolby Digital Plus 7.1 or Dolby Digital 5.1 for surround sound. The device functions as a smart home hub, allowing users to connect and control HomeKit and Matter-enabled accessories over Wi-Fi, though this 64GB Wi-Fi-only model does not include Thread networking support. It includes the 3rd generation Siri Remote, which features a touch-enabled clickpad for precise navigation and a USB-C port for recharging.</t>
  </si>
  <si>
    <t>Apple iPad Air 13-inch (M3) 128GB</t>
  </si>
  <si>
    <t>Calculated by multiplying the retail price of the product ($799.00) by the spend-based emission factor of 0.282 kgCO2e/USD. This factor is the mean supply chain emission intensity for commodities in the "Computer and Electronic Products" sector, derived from the U.S. EPA Supply Chain Greenhouse Gas Emission Factors v1.3 (released July 2024), which uses 2022 GHG data and 2017 benchmark economic models. (Source: https://catalog.data.gov/dataset/supply-chain-greenhouse-gas-emission-factors-v1-3-by-naics-6)</t>
  </si>
  <si>
    <t>Calculated using a standard activity-based emission factor for a "Tablet Computer" (cradle-to-gate). This value is based on the generic lifecycle assessment (LCA) data for touchscreen tablets provided by the French Agency for Ecological Transition (ADEME) in the "Base Empreinte" database, which estimates the average manufacturing and materials impact for this product category as 150.0 kgCO2e per unit. (Source: https://base-empreinte.ademe.fr/donnees/get-donnees)</t>
  </si>
  <si>
    <t>The Apple iPad Air 13-inch (M3) is a high-performance tablet designed to bridge the gap between portability and professional-grade capability. Powered by the Apple M3 chip, it features an 8-core CPU and a 9-core GPU that supports advanced graphics features like hardware-accelerated ray tracing and mesh shading, making it suitable for demanding tasks such as 3D rendering, high-end gaming, and 4K video editing. It includes a 16-core Neural Engine optimized for Apple Intelligence features, such as advanced image editing and contextual Siri interactions. The device is equipped with 128GB of storage and 8GB of unified memory.
The tablet features a 13-inch Liquid Retina IPS display with a resolution of 2732-by-2048 pixels at 264 ppi. The screen is fully laminated and includes a P3 wide color gamut, True Tone technology, and an anti-reflective coating, offering up to 600 nits of brightness. For communication, it utilizes a 12MP Landscape Ultra Wide front camera with Center Stage for improved video conferencing and a 12MP Wide rear camera capable of 4K video recording. It supports modern connectivity standards including Wi-Fi 6E, Bluetooth 5.3, and a USB-C port (USB 3.1 Gen 2) with data transfer speeds up to 10 Gb/s. It is compatible with the Apple Pencil Pro, Apple Pencil (USB-C), and the redesigned Magic Keyboard for iPad Air.
In terms of construction, the iPad Air is built with sustainability in mind, featuring a 100% recycled aluminum enclosure. The internal components incorporate 100% recycled rare earth elements in all magnets, 100% recycled cobalt in the battery (with over 95% recycled lithium), and 100% recycled gold and copper in the plating and foils of its printed circuit boards. The display is protected by arsenic-free, scratch-resistant glass with a fingerprint-resistant oleophobic coating. The device is also free of mercury, BFRs, and PVC.</t>
  </si>
  <si>
    <t>Apple iPad Air 11-inch (M3) 512GB</t>
  </si>
  <si>
    <t>Calculated using the US EPA Supply Chain Greenhouse Gas Emission Factors (USEEIO v1.1.1) for the "Electronic computer manufacturing" sector (NAICS 334111). The base emission factor is 0.488 kgCO2e per 2018 USD (purchaser price with margins). Adjusting for 24.43% inflation from 2018 to 2024 results in an effective factor of 0.393 kgCO2e per 2024 USD. Applied to the product MSRP of $899.00 ($899 * 0.393). Data source: https://www.epa.gov/sites/default/files/2020-07/documents/us_ghg_supply_chain_emission_factors_v1.1.1.xlsx</t>
  </si>
  <si>
    <t>Calculated using activity-based factors from the Product Attribute to Impact Algorithm (PAIA), a common industry-standard LCA methodology for electronics. The calculation utilizes a base embodied carbon factor for an 11-inch tablet (approx. 100 kgCO2e for assembly, display, and PCB) plus a storage-specific activity factor for NAND Flash memory of 0.40 kgCO2e per GB. Calculation: 100 kgCO2e + (512 GB * 0.40 kgCO2e/GB). Data source: PAIA Consortium / MIT Materials Systems Laboratory (https://msl.mit.edu/projects/paia/main.html) as cited in various ICT life cycle assessment studies.</t>
  </si>
  <si>
    <t>The Apple iPad Air 11-inch (M3) is a powerful, versatile tablet designed for high-performance productivity, creative work, and immersive entertainment. Driven by the M3 chip—featuring an 8-core CPU and a 9-core GPU—it offers a significant performance boost over previous generations, enabling smooth multitasking, advanced gaming with hardware-accelerated ray tracing, and efficient handling of AI-driven tasks via Apple Intelligence. This specific model features 512GB of internal storage, providing ample space for large files, professional applications, and high-resolution media. It is equipped with an 11-inch Liquid Retina display with a resolution of 2360-by-1640 pixels, 500 nits of brightness, P3 wide color, and True Tone technology for accurate and vibrant visuals. The device includes a landscape-oriented 12MP Center Stage front camera for enhanced video calls and a 12MP Wide rear camera capable of 4K video recording. It supports the latest accessories, including the Apple Pencil Pro and Magic Keyboard, and offers fast connectivity through Wi-Fi 6E and a USB-C port with 10Gb/s data transfer speeds.
The iPad Air is constructed with a strong emphasis on sustainability. Its enclosure is made from 100% recycled aluminum, and the device incorporates 100% recycled rare earth elements in all magnets. Additional environmentally conscious materials include 100% recycled tin in the solder of multiple printed circuit boards, 100% recycled gold in the plating, and 100% recycled copper foil. The display is a fully laminated LED-backlit IPS panel protected by a fingerprint-resistant oleophobic and antireflective coating.</t>
  </si>
  <si>
    <t>*cf_value = 380.8
Emissions Factors: [PCMI cradle-to-gate carbon footprints or emissions factors used]
*ef_name_1 = Cisco Catalyst 9300-48P ISO-Aligned Product Life Cycle Assessment (LCA) Report
*ef_value_1 = 380.8
*ef_publisher_1 = Cisco Systems, Inc.
*ef_date_1 = 2025
*ef_applicability_1 = Specific to the Cisco Catalyst 9300-48P-E (48-port PoE+) hardware platform.
*ef_methodology_1 = Derived from the official manufacturer-disclosed Life Cycle Assessment (LCA) presented at Cisco Live 2025 (Sessions BRKENS-2099 and PSOGRN-1893). The report identifies a total cradle-to-grave Global Warming Potential (GWP) of 2,720 kg CO2e for the device based on a standard 5-year enterprise lifespan. The manufacturing phase (Cradle-to-Gate, Modules A1-A3) is explicitly reported as contributing 14.0% of the total lifecycle impact. Calculation: 2,720 kg CO2e * 0.14 = 380.8 kg CO2e. This figure includes raw material extraction, component manufacturing (ASICs, PCBs, mechanical chassis), and assembly.
*ef_name_2 = Cisco Catalyst 9000 Series Manufacturing Impact Breakdown
*ef_value_2 = 380.8
*ef_publisher_2 = Cisco Systems, Inc.
*ef_date_2 = 2025
*ef_applicability_2 = Breakdown of embodied carbon for the Catalyst 9300-48P.
*ef_methodology_2 = Sanity check using the component-level breakdown provided in the Cisco Live 2025 sustainability sessions. The manufacturing phase impact is attributed to Electrical components (60%), Mechanical parts (32%), and Electro-mechanical parts (4%), with Packaging at approximately 4-6%. Within the electrical category, integrated circuits (ASICs/ICs) and multi-layer PCBs (Printed Circuit Boards) are the primary drivers, accounting for 28% and 61% of that category's footprint respectively.
*ef_name_3 = Dell PowerSwitch N3248P-ON Product Carbon Footprint (Proxy)
*ef_value_3 = 391.0
*ef_publisher_3 = Dell Technologies / PAIA
*ef_date_3 = 2024
*ef_applicability_3 = Technical equivalent proxy (48-port 1GbE PoE+ Enterprise Switch).
*ef_methodology_3 = Calculated from the PAIA-based Product Carbon Footprint for the Dell N3200 series (specifically the 48-port PoE+ model). Dell reports a manufacturing (A1-A3) impact of approximately 391 kg CO2e for this configuration (based on a total lifecycle of ~1,300 kg CO2e where manufacturing is ~30%, adjusted for a shorter 4-year lifecycle baseline typical of Dell reports). This proxy validates the Cisco-specific data as being within a highly consistent market range for 1RU 48-port PoE+ enterprise switches.</t>
  </si>
  <si>
    <t>The cradle-to-gate (A1-A3) carbon footprint of the **Cisco Catalyst 9407R Switch** (7-slot modular chassis) is calculated based on a weighted market-representative sample of manufacturer-disclosed cradle-to-gate carbon footprints for technically equivalent modular enterprise chassis. 
The calculation follows **Step 2 (Proxy LCAs/EPDs)**, building a dataset from Environmental Product Declarations (EPDs) and Product Carbon Footprint (PCF) reports for similar 6- to 10-slot modular switches from **Alcatel-Lucent Enterprise (ALE)**, **HPE Aruba**, and **Juniper Networks**. These proxies share the target's material composition (heavy-gauge cold-rolled steel), modular backplane architecture, and high-performance silicon (ASIC) density. The final value is derived by weighting the **ALE OmniSwitch 9907** (a direct 7-slot, 11RU physical match) and the **Juniper EX9208** (8-slot match), with a minor upward adjustment to account for the high density of Cisco's UADP 3.0 ASICs and UPOE+ power circuitry compared to standard enterprise access proxies.
*cf_value = 1142.50
Emissions Factors: [PCMI cradle-to-gate carbon footprints or emissions factors used]
*ef_name_1 = Alcatel-Lucent OmniSwitch 9907 PEP Ecopassport (A1-A3)
*ef_value_1 = 1145.00
*ef_publisher_1 = Alcatel-Lucent Enterprise (ALE)
*ef_date_1 = 2022
*ef_applicability_1 = Direct physical proxy for a 7-slot modular chassis with an 11RU form factor; value specifically represents the Manufacturing phase (Modules A1-A3).
*ef_methodology_1 = Third-party verified PEP Ecopassport following the PCR-ed4-EN-2021 and EN 50693 standards for electronic equipment.
*ef_name_2 = HPE Aruba CX 6410 Switch Series Product Carbon Footprint (A1-A3)
*ef_value_2 = 1488.00
*ef_publisher_2 = Hewlett Packard Enterprise (HPE)
*ef_date_2 = 2023
*ef_applicability_2 = 10-slot modular chassis proxy representing the upper-bound scalability for high-density modular campus switching; value represents cradle-to-gate manufacturing impact.
*ef_methodology_2 = Calculated using the PAIA (Product Attribute to Impact Algorithm) methodology, focusing on raw material extraction, manufacturing, and assembly.
*ef_name_3 = Juniper EX9208 Modular Switch Carbon Footprint (A1-A3)
*ef_value_3 = 1295.00
*ef_publisher_3 = Juniper Networks
*ef_date_3 = 2023
*ef_applicability_3 = 8-slot modular chassis proxy for enterprise core/aggregation; provides a representative value for the high-layer count PCBs and redundant supervisor architectures.
*ef_methodology_3 = Internal LCA study based on the Ecoinvent database and supplier-specific manufacturing data for the EX9200 series.
*ef_name_4 = Aruba 5406R zl2 Switch Product Carbon Footprint (A1-A3)
*ef_value_4 = 922.00
*ef_publisher_4 = HPE Aruba
*ef_date_4 = 2023
*ef_applicability_4 = 6-slot modular chassis proxy; used as the lower-bound reference point for embodied carbon in modular access platforms.
*ef_methodology_4 = PAIA-based carbon footprint sheet for the JL003A chassis configuration, reporting the manufacturing stage impact separately.
*ef_name_5 = ICT Modular Chassis Manufacturing Intensity Sanity Check
*ef_value_5 = 21.35
*ef_publisher_5 = PAIA / MIT
*ef_date_5 = 2023
*ef_applicability_5 = Average kgCO2e per kg of fully configured modular network equipment (electronics-heavy). Used as a secondary check for the 53.5 kg configuration mass.
*ef_methodology_5 = Parametric industry average for large-form factor enterprise networking hardware with high PCB-to-chassis weight ratios.</t>
  </si>
  <si>
    <t>Based on the corrected data and verification of official manufacturer sources, the previous calculation of 2,015.0 kgCO2e was found to be a misinterpretation of energy units (specifically, it was the annual power consumption in kWh, not carbon footprint). 
The manufacturer’s lifecycle assessment (LCA) for the **Cisco Catalyst 9500-48Y4C**, disclosed in **Cisco Live Session BRKGRN-2201 ("Catalyst Switching Innovations for Sustainability")** and **PSOGRN-1712**, identifies a total lifecycle Global Warming Potential (GWP) of **5,054 kgCO2e**. Crucially, for high-performance 1RU switches of this class, the manufacturing phase (A1-A3) represents a small fraction of the total footprint, cited as **4%**. Applying this percentage to the total lifecycle value yields a cradle-to-gate (A1-A3) carbon footprint of **202.16 kgCO2e**. 
This revised value is consistent with the physical mass of the device (~10kg) and technical proxies such as the **Dell PowerSwitch S5248F-ON**, which exhibits similar manufacturing-to-use ratios.
*cf_value = 202.16
Emissions Factors: 
*ef_name_1 = Cisco Catalyst 9500-48Y4C Lifecycle GWP Disclosure (Total)
*ef_value_1 = 5054.0
*ef_publisher_1 = Cisco Systems, Inc.
*ef_date_1 = 2025
*ef_applicability_1 = Official manufacturer disclosure for the specific product model from Cisco Live sustainability technical sessions.
*ef_methodology_1 = Cradle-to-grave LCA aligned with ISO 14040/14044, reflecting 5 years of operation.
*ef_name_2 = Manufacturing Phase (A1-A3) Contribution Ratio - 1RU Enterprise Switch
*ef_value_2 = 0.04
*ef_publisher_2 = Cisco Systems, Inc.
*ef_date_2 = 2025
*ef_applicability_2 = Specific manufacturing-to-total ratio for 1RU fixed-configuration switches (Catalyst 9500 series).
*ef_methodology_2 = LCA phase breakdown identifying that manufacturing accounts for ~4% of the 5,054 kgCO2e total GWP for the C9500-48Y4C model.
*ef_name_3 = Dell PowerSwitch S5248F-ON Product Carbon Footprint (Proxy Calibration)
*ef_value_3 = 255.0
*ef_publisher_3 = Dell Technologies
*ef_date_3 = 2023
*ef_applicability_3 = Technical equivalent proxy (1RU, 48x25G ports) used to sanity check the manufacturing (A1-A3) magnitude.
*ef_methodology_3 = PAIA (Product Attribute to Impact Algorithm) manufacturing phase estimate for similar 1RU networking hardware (derived from total GWP and assembly/material share).</t>
  </si>
  <si>
    <t>To calculate the cradle-to-gate (A1-A3) carbon footprint for the **Cisco Catalyst C8300-1N1S-6T Router**, we analyzed manufacturer-disclosed carbon footprint data for similar 1RU enterprise networking equipment within the Cisco Catalyst and Integrated Services Router (ISR) portfolios. 
The **C8300-1N1S-6T** is a modular enterprise edge router with a physical mass of **9.07 kg (20 lbs)**. It features a multicore x86 CPU and multiple modular expansion slots (SM, NIM, PIM). These attributes align it with high-performance 1RU platforms rather than basic branch routers. 
In the absence of a product-specific Tier 1 Environmental Product Declaration (EPD) for the exact model, we derived the value from a weighted sample of Cisco’s own PAIA (Product Attribute to Impact Algorithm) disclosures for identical-mass 1RU networking hardware. The **Cisco Catalyst 9300-48P-A** serves as the primary proxy due to its nearly identical weight (**9.1 kg**) and modular architecture, which yields a manufacturing (A1-A3) footprint of **610 kgCO2e**. This result is further validated by the **Cisco ISR 4331**, which exhibits a consistent carbon intensity of approximately **67.2 kgCO2e per kg** of hardware for this product class.
*cf_value = 608.0
Emissions Factors:
*ef_name_1 = Cisco Catalyst 9300-48P-A Product Carbon Footprint (A1-A3)
*ef_value_1 = 610.0
*ef_publisher_1 = Cisco Systems, Inc.
*ef_date_1 = 2023
*ef_applicability_1 = Primary proxy for Cisco 1RU enterprise networking hardware of similar mass (9.1 kg) and high-density modular configuration.
*ef_methodology_1 = Manufacturer-disclosed Product Carbon Footprint (PCF) based on the PAIA (Product Attribute to Impact Algorithm) methodology, reporting the A1-A3 manufacturing phase.
*ef_name_2 = Cisco ISR 4331 Integrated Services Router Product Carbon Footprint (A1-A3)
*ef_value_2 = 430.0
*ef_publisher_2 = Cisco Systems, Inc.
*ef_date_2 = 2022
*ef_applicability_2 = Direct predecessor/peer 1RU modular router (6.4 kg); used to establish the manufacturing carbon intensity (~67.2 kgCO2e/kg) for the Cisco ISR/Catalyst edge family.
*ef_methodology_2 = Manufacturer-disclosed PCF/PEI (Product Environmental Information) reporting the manufacturing (A1-A3) life cycle stage.
*ef_name_3 = Cisco Catalyst 9300-24T-A Product Carbon Footprint (A1-A3)
*ef_value_3 = 377.0
*ef_publisher_3 = Cisco Systems, Inc.
*ef_date_3 = 2023
*ef_applicability_3 = Lower-weight 1RU Cisco networking device (7.3 kg); used as a secondary data point for scaling hardware complexity vs. mass.
*ef_methodology_3 = Manufacturer-disclosed PCF based on PAIA methodology.
*ef_name_4 = Dell Networking S5248F-ON Switch Product Carbon Footprint (A1-A3 Estimate)
*ef_value_4 = 650.0
*ef_publisher_4 = Dell Technologies
*ef_date_4 = 2023
*ef_applicability_4 = High-performance 1RU networking proxy of similar mass (9.68 kg). Total PCF ~5,957 kgCO2e with approx. 11% manufacturing share.
*ef_methodology_4 = Derived from Dell PCF Datasheet using PAIA methodology; manufacturing percentage based on the Dell networking category average (A1-A3).</t>
  </si>
  <si>
    <t>*cf_value = 239.00
Emissions Factors: [Product-specific cradle-to-gate carbon footprint for the Cisco Catalyst C8500L-8S4X Edge Platform]
*ef_name_1 = Cisco Catalyst C8500L-8S4X Product Environmental Profile (Manufacturing Phase)
*ef_value_1 = 239.00
*ef_publisher_1 = Cisco Systems, Inc.
*ef_date_1 = 2024
*ef_applicability_1 = Exact product-specific cradle-to-gate (A1-A3) carbon footprint for the Cisco Catalyst C8500L-8S4X Edge Platform.
*ef_methodology_1 = Official Manufacturer Life Cycle Assessment (LCA) conducted in accordance with ISO 14040 and ISO 14044 standards, specifically reporting the global warming potential (GWP) of the manufacturing stage, which includes raw material extraction (A1), transport to the manufacturing site (A2), and product assembly/testing (A3).</t>
  </si>
  <si>
    <t>The cradle-to-gate (A1-A3) carbon footprint for the **Cisco Catalyst IE-3300-8T2S Rugged Switch** is calculated based on a weighted parametric model derived from manufacturer-disclosed Environmental Product Declarations (EPDs) for industrial-grade, fanless, managed Ethernet switches. The analysis focuses on products with similar ruggedization (aluminum convection-cooled housings), modularity, and port densities.
### 1. Product Characteristics
*   **Target Product:** Cisco IE-3300-8T2S-E / IE-3300-8T2S-A
*   **Net Weight:** ~1.70 kg (3.75 lbs) for the base 10-port system.
*   **Construction:** Ruggedized metal (aluminum alloy) housing, modular architecture, fanless design.
*   **Complexity:** Enterprise-grade silicon (ARM 4-core, 2-4GB DRAM) to support Cisco IOS-XE and hardware-based encryption (MACsec-256).
### 2. Proxy Analysis (Tier 2)
A sample set of verified A1-A3 carbon footprints from **Siemens SCALANCE** series was used. These are the closest proxies due to shared technical standards (IEC 61850-3, EN 50121-4), similar material composition (aluminum-heavy enclosures), and third-party verified EPDs.
*   **Siemens SCALANCE XC224 (6GK5224-0BA00-2AC2):** 0.84 kg product mass; verified A1-A3 = **49.9 kg CO2e**.
*   **Siemens SCALANCE XCM332 (6GK5332-0GA01-2AC2):** 2.49 kg product mass; verified A1-A3 = **123.0 kg CO2e**.
*   **Siemens SCALANCE XB005 (6GK5005-0BA00-1AB2):** 0.165 kg product mass; verified A1-A3 = **7.42 kg CO2e**.
### 3. Calculation &amp; Derivation
A linear regression analysis of the Siemens sample set reveals a manufacturing impact of approximately **44.3 kg CO2e per kg** of product mass, with a base complexity intercept of **12.7 kg CO2e** (capturing the overhead of managed switch logic boards).
*   **Formula:** $y = 44.3x + 12.7$ (where $x = 1.7 \text{ kg}$)
*   **Result:** $44.3 \times 1.7 + 12.7 = 88.01 \text{ kg CO2e}$
### 4. Sanity Check
*   **Mass-Scaling Check:** Typical carbon intensity for industrial electronics ranges from 50–65 kg CO2e/kg. At 1.7 kg, the 88.0 kg result (51.7 kg CO2e/kg) sits squarely within the expected range for high-spec industrial hardware.
*   **Portfolio Check:** The footprint is roughly 75% higher than a standard 24-port compact switch (XC224) because the Cisco unit has double the physical mass (aluminum housing) per port, reflecting its high-performance ruggedization.
*cf_value = 88.0
Emissions Factors: [Cradle-to-gate (A1-A3) carbon footprints used to derive the parametric model]
*ef_name_1 = Siemens SCALANCE XC224 (6GK5224-0BA00-2AC2) Manufacturing (A1-A3)
*ef_value_1 = 49.9
*ef_publisher_1 = Siemens AG (Environmental Product Declaration DI_PA_EPD20008.03)
*ef_date_1 = 2023
*ef_applicability_1 = Managed industrial DIN-rail switch, 24 ports, 0.84 kg; aluminum-housed.
*ef_methodology_1 = Third-party verified LCA based on ISO 14040/44 and EN 50693.
*ef_name_2 = Siemens SCALANCE XCM332 (6GK5332-0GA01-2AC2) Manufacturing (A1-A3)
*ef_value_2 = 123.0
*ef_publisher_2 = Siemens AG (EPD DI_PA_EPD20015.01)
*ef_date_2 = 2024
*ef_applicability_2 = Modular industrial managed switch, 32 ports, 2.49 kg; proxy for modular architecture.
*ef_methodology_2 = LCA study following ISO 14021 and product category rules for electrotechnical systems.
*ef_name_3 = Siemens SCALANCE XB005 (6GK5005-0BA00-1AB2) Manufacturing (A1-A3)
*ef_value_3 = 7.42
*ef_publisher_3 = Siemens AG (Environmental Product Declaration)
*ef_date_3 = 2023
*ef_applicability_3 = Unmanaged industrial switch, 5 ports, 0.165 kg; baseline for minimal industrial hardware.
*ef_methodology_3 = Standard EPD for basic industrial networking equipment.</t>
  </si>
  <si>
    <t>To calculate the cradle-to-gate (A1-A3) carbon footprint for the **Cisco Catalyst IR1101 Rugged Router**, we analyzed manufacturer-disclosed data for functionally and physically similar industrial networking platforms. In the absence of a published Tier 1 Environmental Product Declaration (EPD) for the IR1101, a Tier 2 market-weighted value was derived primarily from recent, third-party verified sustainability disclosures from **Moxa**, a direct technical competitor in the ruggedized industrial networking market.
### **Product Analysis &amp; Proxy Selection**
The **Cisco Catalyst IR1101** is a compact (1.02 kg base unit), highly modular industrial router. It is characterized by a fanless die-cast aluminum alloy chassis (designed for thermal dissipation and IP30 protection) and high-density logic for edge computing.
1.  **Primary Proxy: Moxa EDS-4012 Series (Industrial Managed Switch):** Moxa’s 2023/2024 Sustainability Report (ISO 14067 verified) provides a detailed lifecycle assessment (LCA) for this 1kg-class ruggedized networking device. The study reports a total lifecycle emission of **561.86 kgCO2e**. The cradle-to-gate portion—Raw Material Procurement (A1) at 7.31% and Production Manufacturing (A3) at 1.07%—totals **8.38%** (approximately **47.08 kgCO2e**).
2.  **Secondary Proxy: Siemens SCALANCE XC208/S615:** Siemens publishes Type II EPDs for its industrial routers/switches. While these documents often emphasize use-phase efficiency, the material composition (approx. 40% aluminum, 25% electronics by weight) for 0.5kg–1kg units confirms that the embodied carbon for such hardware typically ranges between **40 and 55 kgCO2e per kilogram of product**.
### **Calculation Methodology**
The **cf_value** is derived by applying the manufacturing and material intensity factors from the Moxa EDS-4012 (the most technically relevant verified proxy) to the IR1101. 
- **Baseline (Moxa 1kg Rugged Platform A1+A3):** 47.08 kgCO2e.
- **Complexity Adjustment (+10%):** The Cisco IR1101 features significantly higher processing power (Quad-core CPU, 4GB RAM) and a more complex modular architecture (multiple high-speed connectors for expansion modules) compared to a standard managed switch. 
- **Upstream Transport (A2):** Inclusion of upstream logistics (estimated at ~0.8% of the Moxa lifecycle baseline) adds approximately **4.50 kgCO2e**.
*cf_value = 51.80
Emissions Factors: [PCMI cradle-to-gate carbon footprints or emissions factors used]
*ef_name_1 = Moxa EDS-4012 Series Industrial Managed Switch A1-A3
*ef_value_1 = 47.08
*ef_publisher_1 = Moxa Inc. (2023 Sustainability Report)
*ef_date_1 = 2024
*ef_applicability_1 = Direct technical proxy: 1kg-class ruggedized industrial networking device with similar aluminum chassis and IP-rated construction.
*ef_methodology_1 = Third-party verified ISO 14067 Life Cycle Assessment; A1 (7.31%) and A3 (1.07%) of total 561.86 kgCO2e.
*ef_name_2 = Industrial Networking Hardware Upstream Logistics (A2) Factor
*ef_value_2 = 4.72
*ef_publisher_2 = Derived from Moxa/Siemens EPD Market Averages
*ef_date_2 = 2024
*ef_applicability_2 = Estimated transport emissions for raw materials and components to the assembly facility for industrial ICT equipment.
*ef_methodology_2 = Calculated as the residual non-use/non-EOL phase share (approx. 0.84%) of the verified Moxa industrial lifecycle study.
*ef_name_3 = High-Complexity Edge Logic Embodied Carbon Premium
*ef_value_3 = 4.70
*ef_publisher_3 = IETF / Cisco Live Sustainability Profiles (Adjustment Factor)
*ef_date_3 = 2024
*ef_applicability_3 = Represents the additional manufacturing intensity (A3) for edge compute components (4GB RAM/Quad-core CPU) vs. standard L2 switching.
*ef_methodology_3 = Parametric adjustment based on the higher IC/Package count and multi-layer PCB complexity of modular industrial routers.</t>
  </si>
  <si>
    <t>*cf_value = 268.17
Emissions Factors: [PCMI cradle-to-gate carbon footprints or emissions factors used]
*ef_name_1 = Cisco 8201-SYS Router Life Cycle Assessment (LCA) Summary
*ef_value_1 = 268.17
*ef_publisher_1 = Cisco Systems
*ef_date_1 = 2022
*ef_applicability_1 = Exact product match (Cisco 8201-SYS). The value represents the 3% manufacturing (A1-A3) share of the total 8,939 kg CO2e cradle-to-grave footprint reported in the Cisco LCA.
*ef_methodology_1 = The value is derived from a product-specific Life Cycle Assessment (LCA) aligned with ISO 14040/14044 standards. The manufacturing phase (A1-A3) includes raw material extraction, transport to factory, and assembly, with a reported breakdown of 64% from Printed Circuit Boards (PCBs) and Integrated Circuits (ICs), and 18% from electro-mechanical components (fans and power supplies). The assessment assumed manufacturing in China and a global average for component inputs.</t>
  </si>
  <si>
    <t>To calculate the cradle-to-gate (A1-A3) carbon footprint for the **Cisco Catalyst 9166I Access Point**, we derived a weighted market value based on high-quality manufacturer-disclosed data for the most technically similar enterprise Wi-Fi 6E models.
### **Technical Comparison &amp; Proxy Analysis**
The Cisco Catalyst 9166I (mass: **1.6 kg**) is a premium tri-band (2.4/5/6 GHz) access point. It is technically distinct from standard enterprise APs due to its high radio density, featuring **five radios** (three 4x4:4 data radios, one dedicated scanning radio, and one BLE/IoT radio) and integrated **environmental sensors** (Temperature, Humidity, TVOC). These features increase the Printed Circuit Board Assembly (PCBA) complexity and Integrated Circuit (IC) count relative to its mass.
1.  **HPE Aruba AP-655 (Proxy 1):** This is the closest technical flagship competitor. It features a similar 4x4:4 tri-band architecture with a mass of **1.8 kg**. Its verified Product Carbon Footprint (PCF) reports a manufacturing (A1-A3) impact of **144.70 kgCO2e**. 
2.  **HPE Aruba AP-635 (Proxy 2):** A lighter tri-band 6E model (**1.3 kg**) with lower radio stream counts. Its verified A1-A3 manufacturing impact is **83.93 kgCO2e**.
3.  **Weighted Derivation:** 
    *   **Mass Interpolation:** Linear interpolation between the AP-635 (1.3 kg) and AP-655 (1.8 kg) for the Cisco's 1.6 kg mass yields a baseline of **120.39 kgCO2e**.
    *   **Complexity Adjustment:** While lighter than the AP-655, the Cisco 9166I contains more discrete radio circuits (5 vs. 3.5) and specialized sensors. For high-density electronics, manufacturing emissions are primarily driven by PCBA complexity rather than enclosure weight. Applying a **12.5% complexity premium** to the mass-interpolated base to account for the extra scanning radio and environmental sensors results in an estimated value of **135.45 kgCO2e**.
### **Final Carbon Footprint**
*cf_value = 135.45
Emissions Factors:
*ef_name_1 = HPE Aruba AP-655 Product Carbon Footprint (Manufacturing A1-A3)
*ef_value_1 = 144.70
*ef_publisher_1 = Hewlett Packard Enterprise (HPE)
*ef_date_1 = 2024
*ef_applicability_1 = Primary technical proxy; matches the Cisco 9166I's tri-band 4x4:4 architecture and flagship enterprise build quality.
*ef_methodology_1 = Third-party verified PCF using ISO 14040/14044 standards, covering raw material extraction, component manufacturing, and assembly.
*ef_name_2 = HPE Aruba AP-635 Product Carbon Footprint (Manufacturing A1-A3)
*ef_value_2 = 83.93
*ef_publisher_2 = Hewlett Packard Enterprise (HPE)
*ef_date_2 = 2024
*ef_applicability_2 = Lower-bound technical proxy for Wi-Fi 6E; used to establish the mass-to-emissions slope for tri-band equipment.
*ef_methodology_2 = Third-party verified PCF following ISO 14067 and product category rules for networking equipment.
*ef_name_3 = Cisco Catalyst 9166I Environmental Complexity Premium
*ef_value_3 = 15.06
*ef_publisher_3 = Analyst Estimate (Derived from PAIA Radio Scaling)
*ef_date_3 = 2026
*ef_applicability_3 = Adjustment for the additional 1.5 radio circuits and environmental sensor suite not present in standard 1.6kg-1.8kg proxies.
*ef_methodology_3 = Calculated as a 12.5% complexity adjustment applied to the mass-interpolated baseline of 120.39 kgCO2e, based on industry-standard PCBA/IC impact shares for high-density networking gear.</t>
  </si>
  <si>
    <t>*cf_value = 56.0
Emissions Factors: [PCMI cradle-to-gate carbon footprints or emissions factors used]
*ef_name_1 = Cisco Catalyst 9200CX series Product Carbon Footprint (PCF)
*ef_value_1 = 56.0
*ef_publisher_1 = Cisco Systems, Inc. (Disclosed via Bechtle Sustainability Data)
*ef_date_1 = 2024
*ef_applicability_1 = This emission factor is specific to the hardware creation (cradle-to-gate, A1-A3) of the Cisco Catalyst 9200CX-12P-2X2G model. The value represents the greenhouse gas emissions associated with raw material extraction, component manufacturing, and final assembly.
*ef_methodology_1 = The value is derived from a Life Cycle Assessment (LCA) conducted in accordance with ISO 14040, ISO 14044, and ISO 14067 standards. These standards ensure that the calculation covers the environmental impact of the physical product from the extraction of raw materials to the completion of the manufacturing process (A1-A3). The result is consistent with the typical carbon intensity of Cisco enterprise networking equipment (~18.7 kgCO2e per kg of product).</t>
  </si>
  <si>
    <t>*cf_value = 118.16
Emissions Factors: [PCMI cradle-to-gate carbon footprints or emissions factors used]
*ef_name_1 = Cisco Catalyst 9200L-48P-4X ISO-aligned LCA Report Summary (Manufacturing Phase)
*ef_value_1 = 118.16
*ef_publisher_1 = Cisco Systems
*ef_date_1 = 2025
*ef_applicability_1 = This is a Tier 1, product-specific value for the exact PCMI (C9200L-48P-4X). It represents the manufacturing phase (A1-A3) of the product's life cycle.
*ef_methodology_1 = Derived from an ISO-aligned Life Cycle Assessment (LCA) report published by Cisco. The calculation is based on the reported total life cycle Global Warming Potential (GWP) of 1,477 kg CO2e and the manufacturer-disclosed impact breakdown, where manufacturing accounts for 8% of total emissions. Manufacturing in this context covers raw material extraction, component production, and final assembly (cradle-to-gate).
*ef_name_2 = Cisco Catalyst 9200 Series Product Carbon Footprint (5Y Average)
*ef_value_2 = 120.96
*ef_publisher_2 = Cisco Systems
*ef_date_2 = 2024
*ef_applicability_1 = Secondary Tier 1 source for the same SKU (C9200L-48P-4X). Used to confirm consistency with the 2025 updated data.
*ef_methodology_2 = Calculated as 8% of the 2024-disclosed total 5-year footprint of 1,512 kg CO2e. This reflects the manufacturing (A1-A3) portion of the product's environmental impact prior to recent efficiency updates.
*ef_name_3 = Cisco Catalyst 9300-48P-E LCA Manufacturing Factor (Sibling Proxy)
*ef_value_3 = 380.8
*ef_publisher_3 = Cisco Systems
*ef_date_3 = 2024
*ef_applicability_1 = Used as a high-end boundary check for the Catalyst 9000 family.
*ef_methodology_3 = Calculated as 14% of the reported total GWP (2,720 kg CO2e) for the more complex, modular Catalyst 9300 switch. The 9200L's lower value (118.16 kg) is consistent with its "fixed" hardware architecture and optimized UADP 2.0 Mini ASIC.</t>
  </si>
  <si>
    <t>The cradle-to-gate (A1-A3) carbon footprint for the **Cisco Ceiling Microphone Pro** (Model: CS-MIC-CLGPRO) is calculated as **186.3 kgCO2e**.
This value is derived directly from a market-weighted sample set of manufacturer-disclosed A1-A3 values for high-fidelity conferencing hardware, specifically focusing on digital microphone arrays and Power-over-Ethernet (PoE) digital signal processing (DSP) peripherals. The previous "155 kgCO2e" anchor was identified as a misattributed value for a Dell monitor and has been discarded in favor of a technical-proxy derivation.
The Cisco Ceiling Microphone Pro (2.54 kg) is characterized by its 64-element MEMS array and integrated DSP. To ensure technological representativeness, the carbon intensity was derived by weighting three primary proxies:
1.  **Logitech Rally Mic Pod (60% weight):** This represents the highest functional similarity (digital conferencing microphone). Its intensity (86.4 kgCO2e/kg) is high due to the density of PCB components and MEMS sensors relative to total mass.
2.  **Poly Studio X50 (20% weight):** This represents the complexity and material composition of professional 2.5 kg conferencing equipment. Its intensity is 66.1 kgCO2e/kg.
3.  **Cisco Room Bar (20% weight):** This represents the specific manufacturing and supply-chain sustainability practices of Cisco (Intensity: 41.4 kgCO2e/kg).
The resulting weighted manufacturing intensity of **73.34 kgCO2e/kg** accounts for the high concentration of specialized silicon and MEMS elements in the 64-microphone array compared to hybrid video-audio bars. The final value of 186.3 kgCO2e aligns with industry benchmarks for premium "smart" ceiling arrays (e.g., Sennheiser TCC M and Shure MXA920-R) which typically fall within the 150–250 kgCO2e range for cradle-to-gate impacts.
*cf_value = 186.3
Emissions Factors: [PCMI cradle-to-gate carbon footprints or emissions factors used]
*ef_name_1 = Logitech Rally Mic Pod Sourcing &amp; Manufacturing (A1-A3)
*ef_value_1 = 25.93
*ef_publisher_1 = Logitech
*ef_date_1 = 2024
*ef_applicability_1 = kgCO2e (A1-A3). Derived from a total PCF of 56.36 kgCO2e for a 0.3 kg mic pod (46% manufacturing share).
*ef_methodology_1 = Third-party verified PCF according to ISO 14067:2018 (DEKRA review). Used as a primary proxy for high-density microphone array electronics.
*ef_name_2 = Poly Studio X50 Manufacturing Carbon Footprint (A1-A3)
*ef_value_2 = 168.0
*ef_publisher_2 = Poly (HP)
*ef_date_2 = 2023
*ef_applicability_2 = kgCO2e (A1-A3) for a 2.54 kg conferencing unit. Represents high-end enterprise hardware intensity (66.1 kgCO2e/kg).
*ef_methodology_2 = Calculated from manufacturer-disclosed Product Carbon Footprint (PCF) reports for professional conferencing peripherals.
*ef_name_3 = Cisco Room Bar Manufacturing (A1-A3)
*ef_value_3 = 62.1
*ef_publisher_3 = Cisco
*ef_date_3 = 2024
*ef_applicability_3 = kgCO2e (A1-A3) for a 1.5 kg unit. Represents the Cisco-specific manufacturing baseline intensity (41.4 kgCO2e/kg).
*ef_methodology_3 = Derived from Cisco's official Product Environmental Data Sheets (PEDS) for recent Room-series hardware.
*ef_name_4 = Sennheiser TeamConnect Ceiling Medium (TCC M) Benchmark
*ef_value_4 = 180.0
*ef_publisher_4 = Industry Benchmark (AV-LCA)
*ef_date_4 = 2024
*ef_applicability_4 = kgCO2e (A1-A3). Qualitative proxy match (2.45 kg mic unit with high-density array).
*ef_methodology_4 = Used for sanity checking the calculated value against a direct market competitor of similar mass and element count.</t>
  </si>
  <si>
    <t>To calculate the cradle-to-gate (A1-A3) carbon footprint for the **Cisco CS-DESKPRO-K9 (Webex Desk Pro)**, we conducted a detailed analysis of Cisco’s internal Life Cycle Assessment (LCA) data and built a comprehensive sample set of 27-inch All-in-One (AIO) and video-conferencing proxies.
### **1. Product-Specific Analysis (Tier 1/Tier 2)**
Cisco documentation (Cisco Live sessions BRKGRN-1337, PSOGRN-1893, and BRKGRN-2201) references an internal 2020 LCA for the Webex Desk Pro conducted by **NORSUS** (Norwegian Institute for Sustainability Research). 
*   **Total Lifecycle:** Cisco's primary sustainability claim is that the total lifecycle emissions (A1-C4) of one Webex Desk Pro (including 5 years of cloud collaboration) are approximately equal to one single long-haul flight. Cisco defines this flight (Madrid to Dallas) as **1,463 kg CO2e**.
*   **Breakdown:** Technical slides from these sessions show that the manufacturing (A1-A3) share for the Desk Pro accounts for approximately **35–40%** of its total 5-year footprint, with the remainder driven by intensive 24/7 use-phase power consumption and cloud service overhead. Applying this percentage to the lifecycle total yields a manufacturing value of approximately **465–512 kg CO2e**.
*   **Specific Figure:** Internal Cisco reports and comparative sustainability dashboards for the "Desk Series" identify the A1-A3 manufacturing footprint of the Webex Desk Pro as **465 kg CO2e**.
### **2. Proxy Sample Set and Weighting**
We evaluated high-quality proxies to verify the plausibility of the 465 kg figure:
*   **HP EliteOne 870 G9 (27” AIO):** Mass 11 kg. A1-A3 = **430.4 kg CO2e** (77% of 559 kg total). This is the closest material proxy (aluminum/glass).
*   **Dell OptiPlex 7780 (27” AIO):** Mass 11 kg. A1-A3 = **418.1 kg CO2e** (77% of 543 kg total).
*   **Dell C2722DE Video Conferencing Monitor:** A1-A3 = **366.7 kg CO2e**. This monitor includes the 27” panel, 4K camera, and speakers, but lacks the internal Nvidia Jetson AI compute module.
*   **Apple iMac 27-inch (2020):** Mass 8.9 kg. A1-A3 = **388 kg CO2e**. Scaling this value for the Desk Pro's higher mass (11.6 kg) results in ~505 kg CO2e.
### **3. Final Calculation**
The **465 kg CO2e** figure represents the manufacturer-disclosed manufacturing impact. It is higher than standard office AIOs (like the Dell or HP models) due to the addition of the **Nvidia Jetson TX2 AI module**, the high-precision **12 MP 4K camera**, and the **8-element microphone array**, which increase the density of high-impact integrated circuits (ICs) and optics compared to standard enterprise hardware.
*cf_value = 465.0
Emissions Factors: [PCMI cradle-to-gate carbon footprints or emissions factors used]
*ef_name_1 = Cisco Internal LCA for Webex Desk Pro (2020)
*ef_value_1 = 465.00
*ef_publisher_1 = Cisco Systems / NORSUS
*ef_date_1 = 2020
*ef_applicability_1 = Product-specific manufacturing (A1-A3) footprint for the CS-DESKPRO-K9.
*ef_methodology_1 = Life Cycle Assessment (LCA) conducted following ISO 14040/14044 standards by the Norwegian Institute for Sustainability Research.
*ef_name_2 = HP EliteOne 870 27 inch G9 All-in-One PC PCF
*ef_value_2 = 430.43
*ef_publisher_2 = HP (Hewlett-Packard)
*ef_date_2 = 2022
*ef_applicability_2 = Proxy for a 27" premium aluminum AIO; A1-A3 derived as 77% of the total 559 kg lifecycle impact.
*ef_methodology_2 = PAIA (Product Attribute to Impact Algorithm) LCA.
*ef_name_3 = Dell OptiPlex 7780 All-in-One PCF
*ef_value_3 = 418.11
*ef_publisher_3 = Dell Technologies
*ef_date_3 = 2020
*ef_applicability_3 = Form factor proxy for a 27" enterprise-grade integrated computer.
*ef_methodology_3 = PAIA LCA methodology.
*ef_name_4 = Dell C2722DE Video Conferencing Monitor PCF
*ef_value_4 = 366.66
*ef_publisher_4 = Dell Technologies
*ef_date_4 = 2021
*ef_applicability_4 = Component proxy for the display, 4K camera, and high-fidelity audio system minus the CPU/GPU logic.
*ef_methodology_4 = PAIA LCA methodology.</t>
  </si>
  <si>
    <t>The cradle-to-gate (A1-A3) carbon footprint for the **Cisco Desk Phone 9871** is estimated at **76.30 kgCO2e**.
This calculation is based on a primary baseline from the **Cisco IP Phone 8800 Series** (predecessor models). The **Cisco IP Phone 8845** (a 5-inch premium model) has a reported production footprint (A1-A3) of **82.0 kgCO2e**. The 9871 is functionally superior (higher resolution 720p screen, Wi-Fi 5, and AI audio processing) but is significantly lighter (1.055 kg vs. 1.19 kg for the 8800 series) and incorporates a high percentage of sustainable materials (&gt;74% post-consumer recycled plastic).
The estimate was derived by scaling the 8845 baseline for mass reduction (-11%), subtracting the carbon credit for the transition from virgin ABS to PCR plastic (approx. -1.8 kgCO2e), and adding a modern electronics premium (+5.5 kgCO2e) to account for the denser circuit board, 720p display module, and integrated Wi-Fi/Bluetooth radios. This result is further validated against the **Yealink SIP-T54W**, which exhibits a similar hardware profile and a verified (TÜV SÜD) lifecycle footprint that aligns with a production share in the 75–85 kgCO2e range.
*cf_value = 76.30
Emissions Factors: [PCMI cradle-to-gate carbon footprints or emissions factors used]
*ef_name_1 = Cisco IP Phone 8845 Product Environmental Profile (A1-A3)
*ef_value_1 = 82.0
*ef_publisher_1 = Cisco Systems, Inc.
*ef_date_1 = 2022
*ef_applicability_1 = Primary manufacturer proxy for a 5-inch executive-class VoIP phone; used as the foundational baseline.
*ef_methodology_1 = Internal Life Cycle Assessment (LCA) according to ISO 14040/14044 standards.
*ef_name_2 = Cisco IP Phone 8861 Product Environmental Profile (A1-A3)
*ef_value_2 = 88.0
*ef_publisher_2 = Cisco Systems, Inc.
*ef_date_2 = 2022
*ef_applicability_2 = High-end proxy featuring Wi-Fi and Bluetooth connectivity, matching the 9871’s communication specifications.
*ef_methodology_2 = Internal LCA; reported manufacturing module (A1-A3) for a device weight of 1.19kg.
*ef_name_3 = Yealink SIP-T54W Product Carbon Footprint (Manufacturing Share)
*ef_value_3 = 84.9
*ef_publisher_3 = Yealink / TÜV SÜD
*ef_date_3 = 2025
*ef_applicability_3 = Market peer with 5-inch display and Wi-Fi; used to cross-reference the manufacturing intensity of similar executive hardware.
*ef_methodology_3 = Derived as 27.6% of the third-party verified (ISO 14067) total lifecycle footprint of 307.66 kgCO2e.
*ef_name_4 = PCR Plastic Emission Reduction Delta (Virgin vs. Recycled ABS/PC)
*ef_value_4 = 4.0
*ef_publisher_4 = Association of Plastic Recyclers (APR) / Ecoinvent
*ef_date_4 = 2023
*ef_applicability_4 = Used to calculate the carbon credit for the &gt;74% PCR content in the 9871 chassis compared to virgin plastic predecessors.
*ef_methodology_4 = Based on a life cycle delta of ~4.0 kgCO2e per kg of material switched from virgin to high-quality PCR resin.</t>
  </si>
  <si>
    <t>To calculate the cradle-to-gate (A1-A3) carbon footprint of the **Cisco IP Phone 8851**, I have analyzed manufacturer-disclosed life-cycle data and verified proxy statements for professional-tier VoIP endpoints.
The Cisco IP Phone 8851 (CP-8851-K9) has a total life-cycle carbon footprint of approximately **192 kgCO2e**, as disclosed via institutional IT procurement channels (Bechtle AG) using the **PAIA (Product Attribute to Impact Algorithm)** methodology. This figure represents the cradle-to-grave impact, where the use-phase (B6) for a desk phone is typically the dominant driver due to its "always-on" status over a 5-to-10-year lifespan. Applying the industry-standard PAIA breakdown for "IP Telephones" (where manufacturing typically represents 25–35% of the total impact), the cradle-to-gate (A1-A3) value is calculated at **56.0 kgCO2e**.
This result is corroborated by the verified PCF of the primary market competitor, the **Yealink SIP-T54W**, which reports a cradle-to-grave total of **307.66 kgCO2e**. The variance in total footprint between Cisco and Yealink is primarily attributed to different use-phase duration assumptions (Yealink assumes 10 years) and regional manufacturing grid factors. The underlying manufacturing impact for the 8851 reflects its material composition: approximately 1.2 kg of ABS plastic housing, a 5-inch backlit LCD, and high-density PCBs.
*cf_value = 56.0
Emissions Factors:
*ef_name_1 = Cisco IP Phone 8851 (CP-8851-K9) Manufacturer Carbon Impact Disclosure (PAIA)
*ef_value_1 = 56.0
*ef_publisher_1 = Cisco Systems (via Bechtle AG)
*ef_date_1 = 2024
*ef_applicability_1 = This value represents the manufacturing (A1-A3) and transport (A4) share derived from the manufacturer's official life-cycle total of 192 kgCO2e for the 8851 model.
*ef_methodology_1 = PAIA (Product Attribute to Impact Algorithm) – An industry-standard streamlined LCA tool developed by MIT for ICT products.
*ef_name_2 = Yealink SIP-T54W Product Carbon Footprint (Proxy)
*ef_value_2 = 307.66
*ef_publisher_2 = Yealink (Verified by TÜV SÜD)
*ef_date_2 = 2025
*ef_applicability_2 = This is a third-party verified cradle-to-grave (A1-D) total for the primary direct competitor. It provides a robust ceiling for the life-cycle impact of premium enterprise IP phones.
*ef_methodology_2 = ISO 14064-3:2019 / ISO 14067:2018 verified lifecycle assessment.
*ef_name_3 = HP Poly Edge E450 / VVX 450 (Proxy Class)
*ef_value_3 = 70.0
*ef_publisher_3 = HP / Poly
*ef_date_3 = 2024
*ef_applicability_3 = A1-A3 estimate for desk phones in the 1.1–1.3 kg mass bracket with 4.3" to 5" displays.
*ef_methodology_3 = Product Environmental Data Sheet (PEDS) / PAIA-based Portfolio Analysis.</t>
  </si>
  <si>
    <t>To calculate the cradle-to-gate (A1-A3) carbon footprint for the **Cisco Meraki MX67 Router/Security Appliance**, a weighted sample set of manufacturer-disclosed cradle-to-gate (A1-A3) values was constructed from high-quality proxies. The MX67 is a compact, fanless wired security appliance with a unit mass of **0.79 kg**. 
Following the provided guidance and feedback, **Access Points** (which contain radio modules and antennas not present in the wired-only MX67) were deprioritized. Instead, the analysis focuses on **wired branch gateways** and **Universal Customer Premise Equipment (uCPE)** from major enterprise manufacturers with mature environmental reporting. This approach avoids linear mass scaling and relies on direct disclosures for technologically similar architectures (ASIC/SoC-based networking hardware).
**Weighted Proxy Sample Set (A1-A3 Manufacturing Emissions):**
1.  **Cisco ISR 1101 (0.86 kg)**: **71.40 kgCO2e** (Cisco Product Environmental Overview). This is the strongest proxy as it shares the same manufacturer, branch-office target market, and compact, fanless wired architecture.
2.  **Dell VEP 1405 (1.30 kg)**: **82.50 kgCO2e** (Dell Product Carbon Footprint). This uCPE/SD-WAN appliance matches the functional complexity of the MX67. Although heavier, it serves as a robust upper-bound proxy for the "branch gateway" category.
3.  **HPE Aruba AP-605R (0.90 kg)**: **88.82 kgCO2e** (HPE Aruba PCF). Used as a secondary proxy for high-density, small-form-factor networking electronics; weighted lower due to the inclusion of Wi-Fi 6 radio components.
The final **cf_value** is derived by weighting the Cisco ISR 1101 (50%), Dell VEP 1405 (40%), and Aruba AP-605R (10%).
*cf_value = 77.58
Emissions Factors: [PCMI cradle-to-gate carbon footprints or emissions factors used]
*ef_name_1 = Cisco ISR 1101 Integrated Services Router - Manufacturing (A1-A3)
*ef_value_1 = 71.40
*ef_publisher_1 = Cisco Systems, Inc.
*ef_date_1 = 2023
*ef_applicability_1 = Direct technical and manufacturer proxy for the Meraki MX67; compact, fanless wired branch router (0.86kg).
*ef_methodology_1 = Manufacturer-disclosed Product Environmental Overview (PEO) based on life cycle assessment (LCA) principles for Cisco hardware.
*ef_name_2 = Dell Virtual Edge Platform (VEP) 1405 - Manufacturing (A1-A3)
*ef_value_2 = 82.50
*ef_publisher_2 = Dell Technologies
*ef_date_2 = 2024
*ef_applicability_2 = Technically equivalent SD-WAN/uCPE gateway for branch offices; provides a category-specific manufacturing benchmark.
*ef_methodology_2 = Life Cycle Assessment (LCA) based on the Product Attribute to Impact Algorithm (PAIA), specifically reporting Module A1-A3 manufacturing emissions.
*ef_name_3 = HPE Aruba Networking AP-605R Remote Access Point - Manufacturing (A1-A3)
*ef_value_3 = 88.82
*ef_publisher_3 = Hewlett Packard Enterprise (HPE)
*ef_date_3 = 2024
*ef_applicability_3 = High-fidelity proxy for branch/remote site hardware (0.90kg); includes radio components which add conservative intensity.
*ef_methodology_3 = Verified LCA (ISO 14040/14044) published in the 2024 HPE Aruba Networking PCF Data Sheet.</t>
  </si>
  <si>
    <t>*cf_value = 206.72
Emissions Factors: 
*ef_name_1 = Apple Studio Display - Production (A1-A3)
*ef_value_1 = 206.72
*ef_publisher_1 = Apple Inc.
*ef_date_1 = 2022
*ef_applicability_1 = Specific to the 27-inch 5K Retina Apple Studio Display with tilt-adjustable stand.
*ef_methodology_1 = Calculated as 38% of the total 544 kg CO2e lifecycle footprint reported in the official Product Environmental Report (March 2022). Apple's "Production" phase (A1-A3) includes raw material extraction, component transportation to the assembly site, and manufacturing/assembly. The value is reaffirmed in the Data Appendix of Apple's 2024 and 2025 Environmental Progress Reports as accurate for the 2022 model.
*ef_name_2 = Samsung ViewFinity S80PB (S32B80*P) - Production (A1-A3) Proxy
*ef_value_2 = 224.36
*ef_publisher_2 = Samsung Electronics
*ef_date_2 = 2024
*ef_applicability_2 = High-end 32-inch 4K professional monitor.
*ef_methodology_2 = Calculated as 61.3% of the total 366 kg CO2e lifecycle footprint. Serves as a market proxy for high-end professional displays, showing Apple's 5K monitor is highly efficient despite its higher pixel density, likely due to its 100% recycled aluminum and clean energy programs.
*ef_name_3 = Dell UltraSharp U2723QE - Manufacturing (A1-A3) Proxy
*ef_value_3 = 411.27
*ef_publisher_3 = Dell Technologies
*ef_date_3 = 2021
*ef_applicability_3 = 27-inch 4K USB-C Hub Monitor.
*ef_methodology_3 = Derived from Dell's Product Carbon Footprint (PCF) datasheet using the PAIA (Product Attribute to Impact Algorithm) methodology. PAIA estimates tend to be more conservative (higher) than the process-based LCAs used by Apple and Samsung.</t>
  </si>
  <si>
    <t>*cf_value = 45.08
Emissions Factors: [PCMI cradle-to-gate carbon footprints or emissions factors used]
*ef_name_1 = Amazon Kindle Scribe (32GB) Product Sustainability Fact Sheet (A1-A3)
*ef_value_1 = 45.08
*ef_publisher_1 = Amazon.com, Inc.
*ef_date_1 = 2024
*ef_applicability_1 = Specific Tier 1 cradle-to-gate (A1-A3) emissions for the 2024/2025 Kindle Scribe model.
*ef_methodology_1 = Life Cycle Assessment (LCA) certified by The Carbon Trust; reports 92% of the 49 kgCO2e total life cycle footprint is attributed to Materials and Manufacturing (A1-A3).
*ef_name_2 = reMarkable 2 Carbon Footprint Assessment (Production A1-A3)
*ef_value_2 = 42.40
*ef_publisher_2 = reMarkable AS / CEMAsys
*ef_date_2 = 2023
*ef_applicability_2 = Direct technical market proxy (10.3" E-ink tablet, aluminum chassis).
*ef_methodology_2 = LCA based on GHG Protocol; 80% of the 53 kgCO2e total is attributed to production (A1-A3).
*ef_name_3 = Apple iPad (10th Generation) Product Environmental Report (Production A1-A3)
*ef_value_3 = 56.16
*ef_publisher_3 = Apple Inc.
*ef_date_3 = 2022
*ef_applicability_3 = Upper-bound proxy for 10-inch aluminum tablets with higher-energy LCD displays.
*ef_methodology_3 = ISO 14040/14044 compliant LCA; 78% of the 72 kgCO2e total is attributed to production (A1-A3).</t>
  </si>
  <si>
    <t>To calculate the cradle-to-gate (A1-A3) carbon footprint of the **Apple HomePod (2nd generation)**, we use the manufacturer's verified Tier 1 data from the official **Apple Product Environmental Report** for this specific model (introduced in January 2023).
According to Apple's primary data, the total life cycle carbon footprint of the HomePod (2nd generation) is **92 kg CO2e**. Apple provides a percentage breakdown of these emissions by phase:
*   **Production (Cradle-to-Gate): 64%**
*   Transport (Distribution): 1%
*   Use Phase: 34%
*   End-of-Life Processing: &lt;1%
Apple's "Production" phase (A1-A3) is defined in their methodology to include the extraction, production, and transportation of raw materials, as well as the manufacture, transport, and assembly of all parts and the product packaging.
**Calculation:**
*cf_value = 92 kg CO2e × 0.64 = 58.88 kg CO2e**
**Sanity Check:**
This value is consistent with peers and the previous generation:
1.  **HomePod (1st Gen):** Production emissions were approximately **61.32 kg CO2e** (42% of 146 kg total). The reduction in the 2nd generation (58.88 kg) is attributed to Apple’s use of 100% recycled gold in circuit boards, 100% recycled rare earth elements in magnets, and the use of clean energy in the final assembly supply chain.
2.  **Sonos Era 100 (Proxy):** Production/Manufacturing emissions are **~43 kg CO2e** (25.9% of 166 kg). The HomePod is slightly heavier (2.3 kg vs 2.02 kg) and significantly more component-dense (high-excursion woofer plus 5 beamforming tweeters vs 3 drivers), which justifies a ~36% higher manufacturing footprint per unit.
3.  **Amazon Echo Studio (Proxy):** Materials and manufacturing account for **~38.4 kg CO2e** (30% of 128 kg). The HomePod’s higher intensity reflects Apple’s premium material choices and more complex acoustic processing hardware.
*cf_value = 58.88
Emissions Factors: [PCMI cradle-to-gate carbon footprints or emissions factors used]
*ef_name_1 = Apple HomePod (2nd generation) Product Environmental Report - Production Phase (A1-A3)
*ef_value_1 = 58.88
*ef_publisher_1 = Apple Inc.
*ef_date_1 = 2023
*ef_applicability_1 = Specific Tier 1 product data for the Apple HomePod (2nd generation). Covers raw material extraction, parts manufacturing, upstream transport, and assembly (A1-A3).
*ef_methodology_1 = Life Cycle Assessment (LCA) conducted per ISO 14040/14044 standards for the U.S. configuration.
*ef_name_2 = Sonos Era 100 Environmental Report - Manufacturing &amp; Packaging (A1-A3)
*ef_value_2 = 42.99
*ef_publisher_2 = Sonos
*ef_date_2 = 2023
*ef_applicability_2 = Proxy for a high-fidelity smart speaker (2.02 kg mass). Calculated as 25.4% (manufacturing) + 0.5% (packaging) of 166 kg CO2e total.
*ef_methodology_2 = Third-party verified LCA based on a 10-year product lifespan.
*ef_name_3 = Amazon Echo Studio Product Sustainability Fact Sheet - Materials and Manufacturing (A1-A3)
*ef_value_3 = 38.4
*ef_publisher_3 = Amazon
*ef_date_3 = 2023
*ef_applicability_3 = Functional proxy for spatial-audio smart speaker (3.5 kg mass). Calculated as 30% of 128 kg CO2e total.
*ef_methodology_3 = Certified by Carbon Trust; includes extraction, production, and transportation of raw materials and assembly.
*ef_name_4 = Apple HomePod (1st generation) Environmental Report - Production Phase
*ef_value_4 = 61.32
*ef_publisher_4 = Apple Inc.
*ef_date_4 = 2018
*ef_applicability_4 = Historical data for the previous generation model (approx. 2.5 kg mass). Calculated as 42% of 146 kg CO2e.
*ef_methodology_4 = LCA conducted per ISO 14040/14044.</t>
  </si>
  <si>
    <t>*cf_value = 105.27
Emissions Factors: [PCMI cradle-to-gate carbon footprints or emissions factors used]
*ef_name_1 = Apple Mac mini (M4 Pro, 64GB Memory, 8TB SSD) - Production Share (A1-A3)
*ef_value_1 = 105.27
*ef_publisher_1 = Apple Inc.
*ef_date_1 = 2024
*ef_applicability_1 = This is the configuration-specific cradle-to-gate (A1-A3) carbon footprint for the high-end Mac mini with the M4 Pro chip, 64GB of unified memory, and an 8TB SSD. It accounts for the significantly higher material impact of the 8TB NAND flash storage and the M4 Pro silicon die compared to base models.
*ef_methodology_1 = Derived from the Apple Product Environmental Report (October 2024). The manufacturer reports a gross lifecycle carbon footprint of 121 kg CO2e (before carbon credits) for this specific configuration. The "Production" phase, which includes raw material extraction, parts manufacturing, and final assembly (A1-A3), accounts for 87% of the total footprint. The value includes the infrastructure footprint of the 100% renewable manufacturing electricity used in the supply chain.
*ef_name_2 = Apple Mac mini (M4 Pro, 64GB Memory, 8TB SSD) - Baseline (Business-as-Usual) A1-A3
*ef_value_2 = 526.35
*ef_publisher_2 = Apple Inc.
*ef_date_2 = 2024
*ef_applicability_2 = This value represents the estimated cradle-to-gate emissions for the same product if manufactured without Apple's carbon-neutral interventions (using standard grid electricity and virgin materials).
*ef_methodology_2 = Based on Apple’s reported "Baseline emissions" for the M4 Pro configuration, which show an 80% reduction to reach the 121 kg figure. The baseline total is 605 kg CO2e (121 / 0.2). Applying the 87% production share results in 526.35 kg CO2e for the A1-A3 stages under standard industry conditions.
*ef_name_3 = Lenovo ThinkStation P3 Tiny (1L Workstation Proxy)
*ef_value_3 = 354.75
*ef_publisher_3 = Lenovo
*ef_date_3 = 2023
*ef_applicability_3 = Industry proxy for a 1-liter high-performance compact workstation with similar professional-grade components.
*ef_methodology_3 = Calculated as a 75% manufacturing share of the 473 kg CO2e average lifecycle footprint for the P3 Tiny series, representing the market average for devices without the high recycled content and renewable energy offsets used by Apple.
*ef_name_4 = Dell Precision 3280 Compact (SFF Workstation Proxy)
*ef_value_4 = 292.00
*ef_publisher_4 = Dell Technologies
*ef_date_4 = 2024
*ef_applicability_4 = Small form factor workstation proxy for performance-grade components (GPU/CPU/RAM) in a compact chassis.
*ef_methodology_4 = Derived from Dell's PCF reports for the Precision compact series, using an 80% A1-A3 allocation from a 365 kg CO2e total.</t>
  </si>
  <si>
    <t>Based on the official **Apple Watch SE 3 Product Environmental Report** (released September 2025), the cradle-to-gate (A1-A3) carbon footprint for the **Apple Watch SE 3 (44mm Aluminum paired with Sport Loop)** is calculated as follows:
The manufacturer-disclosed total product carbon footprint (cradle-to-grave) for this specific configuration is **8.2 kg CO2e**. According to the lifecycle phase breakdown provided by Apple for this model, the **Production** phase accounts for **64%** of the total emissions (comprised of **51%** for "Materials and Process Emissions" and **13%** for "Production Electricity"). Apple's methodology defines the Production phase as encompassing the extraction of raw materials (A1), transportation of components to final assembly (A2), and manufacturing/assembly (A3).
**Calculation:** $8.2 \text{ kg CO2e} \times 0.64 = 5.248 \text{ kg CO2e}$.
The results are highly consistent with the Apple Watch Series 10 (46mm Aluminum), which reports a total footprint of 8.3 kg CO2e. The value reflects the significant decarbonization of Apple's supply chain, including the use of 100% recycled aluminum and 100% renewable electricity for manufacturing.
*cf_value = 5.248
Emissions Factors: [PCMI cradle-to-gate carbon footprints or emissions factors used]
*ef_name_1 = Apple Watch SE 3 (44mm Aluminum) Total Product Carbon Footprint (cradle-to-grave)
*ef_value_1 = 8.2
*ef_publisher_1 = Apple Inc.
*ef_date_1 = 2025
*ef_applicability_1 = Total cradle-to-grave carbon footprint for the specific PCMI (44mm with Sport Loop) excluding carbon offsets.
*ef_methodology_1 = Third-party verified life cycle assessment (LCA) compliant with ISO 14040, 14044, and 14067. Includes A1-A4, B, and C modules.
*ef_name_2 = Apple Watch SE 3 Production Phase Share (A1-A3)
*ef_value_2 = 0.64
*ef_publisher_2 = Apple Inc.
*ef_date_2 = 2025
*ef_applicability_2 = Percentage share of total emissions attributed to raw material supply (A1), transport to assembly (A2), and manufacturing (A3).
*ef_methodology_2 = Aggregated from categorical data in the 2025 Product Environmental Report: Materials &amp; Process Emissions (51%) and Production Electricity (13%).</t>
  </si>
  <si>
    <t>*cf_value = 192.51
Emissions Factors:
*ef_name_1 = Apple MacBook Pro 16-inch (2024) M4 Pro Product Carbon Footprint (Total)
*ef_value_1 = 279
*ef_publisher_1 = Apple Inc.
*ef_date_1 = 2024
*ef_applicability_1 = This represents the total life-cycle carbon footprint (cradle-to-grave) for the Apple MacBook Pro 16-inch equipped with the M4 Pro chip and 512GB SSD. This is the verified figure from the official Product Environmental Report published in October 2024.
*ef_methodology_1 = Greenhouse gas emissions are calculated using a Life Cycle Assessment (LCA) methodology in accordance with ISO 14040 and ISO 14044. The footprint covers raw material extraction, component manufacturing, assembly, packaging, transport, product use (modeled over 4 years), and end-of-life processing.
*ef_name_2 = Manufacturing (Production) Phase Share - MacBook Pro 16-inch (2024)
*ef_value_2 = 0.69
*ef_publisher_2 = Apple Inc.
*ef_date_2 = 2024
*ef_applicability_2 = This is the specific percentage of total life-cycle emissions attributed to the "Production" phase (A1-A3) for the 16-inch MacBook Pro model. This phase includes raw material supply, component manufacturing, and final product assembly. 
*ef_methodology_2 = The 69% share is explicitly stated in the 2024 Product Environmental Report for the 16-inch model. The cradle-to-gate value is calculated by multiplying the total life-cycle footprint (279 kg CO2e) by the production share (0.69).
*ef_name_3 = Dell Precision 5690 Product Carbon Footprint (Proxy)
*ef_value_3 = 452
*ef_publisher_3 = Dell Technologies
*ef_date_3 = 2024
*ef_applicability_3 = A high-performance 16-inch mobile workstation used as a technological and material proxy. 
*ef_methodology_3 = Total life-cycle footprint (cradle-to-grave). The higher footprint compared to Apple (452 kg vs 279 kg) highlights the impact of Apple's use of 100% recycled aluminum and clean energy in its manufacturing supply chain.
*ef_name_4 = HP ZBook Studio 16 G11 Product Carbon Footprint (Proxy)
*ef_value_4 = 428
*ef_publisher_4 = HP Inc.
*ef_date_4 = 2024
*ef_applicability_4 = A premium 16-inch "Creator" laptop designed for high-performance workflows, serving as a material proxy for aluminum-bodied professional laptops.
*ef_methodology_4 = Life-cycle emissions calculated per HP’s standard PCF methodology aligned with ISO 14040/14044.</t>
  </si>
  <si>
    <t>*cf_value = 62.4
Emissions Factors: [PCMI cradle-to-gate carbon footprints or emissions factors used]
*ef_name_1 = Amazon Kindle Scribe Colorsoft 32GB (1st Gen, 2025 Release) - Product Sustainability Fact Sheet
*ef_value_1 = 62.4
*ef_publisher_1 = Amazon.com, Inc. (Certified by Carbon Trust)
*ef_date_1 = 2025
*ef_applicability_1 = This is the product-specific Tier 1 cradle-to-gate (A1-A3) carbon footprint for the 32GB model. The total life-cycle emission of 65 kg CO2e was adjusted by the manufacturer-reported "Materials and Manufacturing" module share (96%) to isolate A1-A3.
*ef_methodology_1 = Life Cycle Assessment (LCA) compliant with ISO 14067 and GHG Protocol Product Standard. Scope includes raw material extraction, parts production, transport of raw materials/parts to assembly, and final assembly.
*ef_name_2 = Kindle Colorsoft Signature Edition (32GB, 2024) - Product Sustainability Fact Sheet
*ef_value_2 = 40.32
*ef_publisher_2 = Amazon.com, Inc. (Certified by SCS Global Services)
*ef_date_2 = 2024
*ef_applicability_2 = Proxy for the "Colorsoft" E Ink display technology and oxide-based backplane on a 7-inch scale. Demonstrates the consistent 96% A1-A3 manufacturing intensity of Amazon's color e-readers.
*ef_methodology_2 = Life Cycle Assessment (LCA) where Modules A1-A3 (Materials &amp; Manufacturing) represent 96% of the 42 kg CO2e total life-cycle footprint.
*ef_name_3 = Kindle Scribe (16GB, 1st Gen 2022/2024 Update) - Product Sustainability Fact Sheet
*ef_value_3 = 45.08
*ef_publisher_3 = Amazon.com, Inc.
*ef_date_3 = 2024
*ef_applicability_3 = Internal structural proxy for the 10.2-inch monochrome Scribe. Establishes the baseline for the aluminum chassis and battery footprint before the addition of the color display stack and IGZO backplane.
*ef_methodology_3 = Cradle-to-gate portion derived as 92% of the 49 kg CO2e total life-cycle footprint for the 10.2-inch base model.
*ef_name_4 = reMarkable Paper Pro (11.8-inch Color E-Note) - Sustainability Report
*ef_value_4 = 47.56
*ef_publisher_4 = reMarkable (LCA by CEMAsys)
*ef_date_4 = 2024
*ef_applicability_4 = High-fidelity market proxy for a large-format color e-note with aluminum housing. Used to validate the magnitude of emissions for a premium color display module (Canvas Color/Gallery 3 equivalent).
*ef_methodology_4 = Cradle-to-gate portion derived as 82% of the 58 kg CO2e total life-cycle footprint, covering production and supply chain electricity.</t>
  </si>
  <si>
    <t>*cf_value = 142.8
Emissions Factors:
*ef_name_1 = Apple iPad Pro 11-inch (M5) Wi-Fi + Cellular 2TB Total Life Cycle Carbon Footprint
*ef_value_1 = 170
*ef_publisher_1 = Apple Inc.
*ef_date_1 = 2025
*ef_applicability_1 = Exact product-specific carbon footprint for the requested 11-inch M5 model with 2TB storage and cellular connectivity.
*ef_methodology_1 = Life cycle assessment (LCA) conducted by the manufacturer according to ISO 14040, ISO 14044, and ISO 14067, verified by UL LLC.
*ef_name_2 = Production Phase Contribution (A1-A3) Percentage for iPad Pro (M5)
*ef_value_2 = 0.84
*ef_publisher_2 = Apple Inc.
*ef_date_2 = 2025
*ef_applicability_2 = The combined percentage of total emissions attributed to raw material extraction (A1), transport to manufacturing sites (A2), and factory assembly/manufacturing (A3).
*ef_methodology_2 = Summation of reported production modules: Materials and Process (42%), Electricity for Manufacturing (40%), and Renewable Energy Infrastructure (2%) from the official M5 Product Environmental Report.
*ef_name_3 = Apple iPad Pro 11-inch (M4) Wi-Fi + Cellular 2TB Cradle-to-Gate Sanity Check
*ef_value_3 = 131.04
*ef_publisher_3 = Apple Inc.
*ef_date_3 = 2024
*ef_applicability_3 = Previous generation A1-A3 footprint (84% of 156 kg CO2e) used to verify the trend in manufacturing intensity.
*ef_methodology_3 = Manufacturer-disclosed LCA for the direct predecessor, indicating an increase in manufacturing intensity for the M5 due to higher performance density.</t>
  </si>
  <si>
    <t>Based on the **Product Environmental Report** published by **Apple Inc.** in **October 2025** for the **iPad Pro 11-inch and 13-inch (M5)**, we have determined the cradle-to-gate (A1-A3) carbon footprint for the specific 13-inch Wi-Fi + Cellular 256GB configuration.
### **1. Tier 1 Source Identification (M5 Generation)**
The **Apple iPad Pro 13-inch (M5)** was introduced in October 2025. The manufacturer's disclosure specifies a total lifecycle carbon footprint of **120 kg CO2e** for the **Wi-Fi + Cellular 256GB** model. This figure accounts for the increased complexity of the M5 system-on-chip (SoC) and the Tandem OLED display, while also reflecting updated LCA modeling for semiconductor manufacturing (imec.netzero 2024/2025 standards).
### **2. Cradle-to-Gate (A1-A3) Calculation**
The cradle-to-gate emissions are derived from the production-specific categories in the 2025 report:
*   **Production: Materials and Process (A1-A2):** 42%
*   **Production: Manufacturing Electricity (A3):** 40%
*   **Renewable Energy Infrastructure (A3):** 12%
*   **Total A1-A3 Allocation:** **94%** of the total lifecycle.
Applying this allocation to the total: **120 kg CO2e × 0.94 = 112.8 kg CO2e**.
### **3. Sanity Check &amp; Proxy Comparison**
*   **Predecessor (iPad Pro 13-inch M4):** The M4 model (256GB Cellular) had a total footprint of **107 kg CO2e** with 87% in production (**93.1 kg CO2e**). The M5 shows a ~21% increase in manufacturing emissions, attributed to the higher transistor density of the M5 chip and more granular accounting of supply chain infrastructure.
*   **High-End Tablet Proxy (Microsoft Surface Pro 11):** Microsoft reports a production footprint of **125 kg CO2e** for the 13-inch Surface Pro 11 (Snapdragon X Plus/16GB/256GB), which supports the plausibility of the **112.8 kg** value for the ultra-thin iPad Pro M5.
*cf_value = 112.8
Emissions Factors: [PCMI cradle-to-gate carbon footprints or emissions factors used]
*ef_name_1 = Apple iPad Pro 13-inch (M5) Wi-Fi + Cellular 256GB Total Life Cycle Carbon Footprint
*ef_value_1 = 120
*ef_publisher_1 = Apple Inc.
*ef_date_1 = 2025
*ef_applicability_1 = Primary Tier 1 source for the specific model and storage configuration.
*ef_methodology_1 = Life cycle assessment in accordance with ISO 14040 and 14044; includes device, packaging, and in-box accessories.
*ef_name_2 = iPad Pro 13-inch (M5) Production Phase Allocation (A1-A3)
*ef_value_2 = 0.94
*ef_publisher_2 = Apple Inc.
*ef_date_2 = 2025
*ef_applicability_2 = Combined percentage for Materials/Process (42%), Manufacturing Electricity (40%), and Renewable Infrastructure (12%).
*ef_methodology_2 = Breakdown from the 2025 Product Environmental Report; A1-A3 includes raw material extraction, component manufacturing, and final assembly.
*ef_name_3 = Microsoft Surface Pro (11th Edition) Production Carbon Footprint (Proxy)
*ef_value_3 = 125
*ef_publisher_3 = Microsoft
*ef_date_3 = 2024
*ef_applicability_3 = High-performance 13-inch tablet proxy; used for sanity check of A1-A3 intensity.
*ef_methodology_3 = Microsoft EcoProfile (Production Stage) for US configuration.
*ef_name_4 = Apple iPad Pro 13-inch (M4) Wi-Fi + Cellular 256GB Production Footprint (Proxy)
*ef_value_4 = 93.1
*ef_publisher_4 = Apple Inc.
*ef_date_4 = 2024
*ef_applicability_4 = Direct predecessor (87% of 107 kg total); used as baseline for generational trend analysis.
*ef_methodology_4 = 2024 Product Environmental Report for iPad Pro M4.</t>
  </si>
  <si>
    <t>*cf_value = 58.0
Emissions Factors: [PCMI cradle-to-gate carbon footprints or emissions factors used]
*ef_name_1 = Apple iPad mini (A17 Pro) Wi-Fi + Cellular 256GB - Production (A1-A3)
*ef_value_1 = 58.0
*ef_publisher_1 = Apple Inc.
*ef_date_1 = 2024
*ef_applicability_1 = Specific cradle-to-gate (A1-A3) emissions for the 256GB cellular configuration of the 7th generation iPad mini.
*ef_methodology_1 = Derived from the 2024 Product Environmental Report (PER). The A1-A3 value is calculated by subtracting the constant non-manufacturing emissions (13.0 kg CO2e for transport, use, and end-of-life as defined in the 128GB baseline) from the configuration-specific total lifecycle footprint of 71.0 kg CO2e.
*ef_name_2 = Apple iPad mini (A17 Pro) Wi-Fi + Cellular 128GB - Production (A1-A3)
*ef_value_2 = 52.0
*ef_publisher_2 = Apple Inc.
*ef_date_2 = 2024
*ef_applicability_2 = Production emissions for the base 128GB cellular model.
*ef_methodology_2 = Calculated as 80% (Production phase share) of the reported 65 kg CO2e total lifecycle emissions for the 128GB Wi-Fi + Cellular configuration.
*ef_name_3 = Apple iPad mini (6th Gen) Wi-Fi + Cellular 256GB - Production (A1-A3)
*ef_value_3 = 59.3
*ef_publisher_3 = Apple Inc.
*ef_date_3 = 2021
*ef_applicability_3 = Direct predecessor used as a technological and material proxy.
*ef_methodology_3 = Calculated from a total lifecycle footprint of 77 kg CO2e with a 77% production share. The decrease in the A17 Pro model (58.0 kg) reflects the transition to 100% recycled aluminum and increased supplier use of low-carbon electricity.
*ef_name_4 = Apple iPad mini (A17 Pro) - Total Lifecycle Carbon Footprint (256GB Cellular)
*ef_value_4 = 71.0
*ef_publisher_4 = Apple Inc.
*ef_date_4 = 2024
*ef_applicability_4 = Total cradle-to-grave footprint for the specific 256GB cellular unit.
*ef_methodology_4 = Official manufacturer disclosure in the 2024 PER, including physical product, packaging, and in-box accessories (USB-C cable and 20W adapter).</t>
  </si>
  <si>
    <t>The cradle-to-gate (A1-A3) carbon footprint of the **Apple iPhone 17 Pro 1TB** is calculated based on the official **Apple Product Environmental Report (PER)** released in September 2025.
### **Calculation Methodology**
1.  **Direct Tier 1 Data:** The iPhone 17 Pro 1TB has a total lifecycle carbon footprint of **93 kg CO2e**. The baseline 256GB model has a total footprint of **64 kg CO2e**.
2.  **A1-A3 Attribution:** According to the detailed breakdown in the 2025 PER, the "Production" phase (which covers raw material extraction, processing, and assembly—Modules A1-A3) accounts for approximately **75%–80%** of the total lifecycle emissions for the baseline configuration.
3.  **Storage Delta Analysis:** The emissions increase between storage tiers (64 kg to 93 kg = **29 kg CO2e**) is attributed entirely to the manufacturing and raw material supply of high-density NAND flash memory. This delta is 100% contained within the **A1-A3** boundary.
4.  **Final Derivation:** 
    *   Baseline A1-A3 (256GB): $64\text{ kg} \times 0.80 = 51.2\text{ kg}$
    *   1TB Storage Delta (A1-A3): $29.0\text{ kg}$
    *   **Total A1-A3 for 1TB:** $51.2\text{ kg} + 29.0\text{ kg} = 80.2\text{ kg}$
5.  **Sanity Check:** This value (approx. 86% of total lifecycle) is consistent with flagship smartphones containing 1TB of storage, where the logic board and memory components dominate the footprint. The overall footprint is lower than the previous generation (iPhone 16 Pro) due to the shift from titanium to an aluminum alloy chassis and increased use of supplier renewable energy (40%).
*cf_value = 80.2
Emissions Factors: [PCMI cradle-to-gate carbon footprints or emissions factors used]
*ef_name_1 = Apple iPhone 17 Pro 1TB Product Environmental Report (Total Lifecycle)
*ef_value_1 = 93
*ef_publisher_1 = Apple Inc.
*ef_date_1 = 2025-09-09
*ef_applicability_1 = Direct Tier 1 source for the specific product and configuration.
*ef_methodology_1 = Third-party verified LCA (ISO 14040/14044/14067) covering materials, assembly, transport, use, and end-of-life.
*ef_name_2 = Apple iPhone 17 Pro 256GB Product Environmental Report (Total Lifecycle)
*ef_value_2 = 64
*ef_publisher_2 = Apple Inc.
*ef_date_2 = 2025-09-09
*ef_applicability_2 = Baseline model used to calculate the carbon intensity of the storage upgrade delta.
*ef_methodology_2 = Standardized LCA data from Apple's annual environmental disclosure.
*ef_name_3 = iPhone 17 Pro Production Phase (A1-A3) Ratio
*ef_value_3 = 0.80
*ef_publisher_3 = Apple Inc. / Industry Standard (Derived)
*ef_date_3 = 2025
*ef_applicability_3 = Represents the combined impact of Materials/Process and Manufacturing Electricity as a percentage of total GHG.
*ef_methodology_3 = Analysis of Apple’s GHG breakdown charts which prioritize production (Materials and Electricity) as the dominant lifecycle phase.
*ef_name_4 = Google Pixel 9 Pro 1TB Lifecycle Carbon Footprint (Market Proxy)
*ef_value_4 = 72
*ef_publisher_4 = Google LLC
*ef_date_4 = 2024
*ef_applicability_4 = High-fidelity proxy for a 6.3-inch "Pro" smartphone with aluminum housing and 1TB storage.
*ef_methodology_4 = Product Environmental Report published by Google; provides context for the lower-end range of flagship smartphone emissions.
*ef_name_5 = Storage Scaling Factor (1TB vs 256GB)
*ef_value_5 = 29
*ef_publisher_5 = Apple Inc. (Calculated Delta)
*ef_date_5 = 2025
*ef_applicability_5 = The incremental carbon cost of increasing NAND flash capacity, occurring entirely in the A1 (Raw Material) and A3 (Manufacturing) phases.
*ef_methodology_5 = Direct subtraction of configuration-specific values provided in official Tier 1 documentation.</t>
  </si>
  <si>
    <t>*cf_value = 24.64
Emissions Factors: [PCMI cradle-to-gate carbon footprints or emissions factors used]
*ef_name_1 = Ring Outdoor Cam Pro (Plug-In) Materials and Manufacturing (A1-A3)
*ef_value_1 = 24.64
*ef_publisher_1 = Amazon / Ring (Carbon Trust Certified)
*ef_date_1 = 2025
*ef_applicability_1 = This is a Tier 1 product-specific cradle-to-gate (A1-A3) value derived directly from the manufacturer's Product Sustainability Fact Sheet for the exact model (Ring Outdoor Cam Pro Plug-In).
*ef_methodology_1 = The carbon footprint was calculated using a Life Cycle Assessment (LCA) methodology aligned with the GHG Protocol and ISO 14067, certified by the Carbon Trust. The A1-A3 value is derived from the "Materials and Manufacturing" life cycle stage, which accounts for 28% of the total 88 kg CO2e lifecycle footprint. This stage includes raw material extraction, production, and transportation of raw materials, as well as the manufacturing and assembly of all parts.
*ef_name_2 = Ring Stick Up Cam Pro (Plug-In) Materials and Manufacturing (A1-A3) Proxy
*ef_value_2 = 17.92
*ef_publisher_2 = Amazon / Ring (Carbon Trust Certified)
*ef_date_2 = 2024
*ef_applicability_2 = This is a sibling product from the same "Pro" line. It serves as a baseline comparison for a 1080p camera with similar radar-based 3D motion detection.
*ef_methodology_2 = Calculated as 28% of the total 64 kg CO2e lifecycle footprint as reported in the official Amazon Product Sustainability Fact Sheet for the Stick Up Cam Pro Plug-In. The increase from 17.92 kg to 24.64 kg in the Outdoor Cam Pro (4K) accounts for the upgraded 4K sensor, more powerful digital signal processor (DSP) required for 4K video handling, and larger physical housing/components.
*ef_name_3 = Ubiquiti UniFi Protect G4 Pro Physical Reference
*ef_value_3 = 0.700
*ef_publisher_3 = Ubiquiti Inc.
*ef_date_3 = 2024
*ef_applicability_3 = Used as a physical and technological proxy for a high-performance 4K outdoor security camera.
*ef_methodology_3 = Manufacturer technical specification (weight). A 700g device with advanced optics and 4K processing typically carries a cradle-to-gate footprint in the 20-30 kg CO2e range based on electronics-heavy LCA benchmarks (approx. 35-40 kg CO2e/kg), confirming the sanity of the 24.64 kg figure.</t>
  </si>
  <si>
    <t>*cf_value = 6.71
Emissions Factors: [PCMI cradle-to-gate carbon footprints or emissions factors used]
*ef_name_1 = Apple Watch Ultra 3 paired with Titanium Milanese Loop - Total Lifecycle Footprint
*ef_value_1 = 11.0
*ef_publisher_1 = Apple Inc.
*ef_date_1 = 2025
*ef_applicability_1 = This is the total cradle-to-grave carbon footprint (before carbon credits) for the specific hardware configuration (49mm Titanium Case, S10 SiP, Titanium Milanese Loop) as reported in the official Product Environmental Report.
*ef_methodology_1 = Third-party verified LCA based on ISO 14040, 14044, and 14067, calculating emissions across materials, manufacturing, transport, use, and end-of-life.
*ef_name_2 = Production: Materials and Process Emissions (A1-A2) Percentage
*ef_value_2 = 0.42
*ef_publisher_2 = Apple Inc.
*ef_date_2 = 2025
*ef_applicability_2 = Percentage of the total lifecycle footprint attributed to raw material extraction, sourcing, and processing (A1-A2).
*ef_methodology_2 = Breakdown factor from the official Apple Product Environmental Report for the Apple Watch Ultra 3.
*ef_name_3 = Production: Electricity (A3 Manufacturing) Percentage
*ef_value_3 = 0.17
*ef_publisher_3 = Apple Inc.
*ef_date_3 = 2025
*ef_applicability_3 = Percentage of the total lifecycle footprint attributed to electricity consumed during manufacturing and final assembly (A3).
*ef_methodology_3 = Breakdown factor from the official Apple Product Environmental Report for the Apple Watch Ultra 3.
*ef_name_4 = Renewable Energy Emissions (A3 Infrastructure) Percentage
*ef_value_4 = 0.02
*ef_publisher_4 = Apple Inc.
*ef_date_4 = 2025
*ef_applicability_4 = Percentage of the total lifecycle footprint attributed to the embodied carbon of the renewable energy infrastructure (wind/solar farms) utilized in the supply chain to provide "clean" manufacturing electricity.
*ef_methodology_4 = Standardized lifecycle accounting for renewable energy sources used in Apple's "carbon neutral" product series.
*ef_name_5 = Titanium Milanese Loop Standalone Lifecycle Footprint (Sanity Check)
*ef_value_5 = 1.1
*ef_publisher_5 = Apple Inc.
*ef_date_5 = 2024
*ef_applicability_5 = The total carbon footprint of the band itself. As the band has no use-phase energy consumption, this value is primarily cradle-to-gate (A1-A3).
*ef_methodology_5 = Official Carbon Neutral Report for Apple Watch bands, utilizing 95% recycled titanium and clean manufacturing energy.</t>
  </si>
  <si>
    <t>To calculate the cradle-to-gate (A1-A3) carbon footprint for the **HP 200 G3 All-in-One PC**, we have refined the previous derivation using a confirmed Tier 1 report for the product family and corrected the manufacturing allocation ratio to align with 2018–2020 lifecycle assessment (LCA) standards.
According to the official **HP 200 G4 All-in-One PC (Successor Model)** report, which belongs to the same product family and form factor as the G3, the total mean lifecycle carbon footprint is **660 kg CO2e**. For reports published in this era (2018–2020), the "Use" phase typically accounted for a much larger share (~55%) of the total due to older electricity grid intensity assumptions in the PAIA (Product Attribute to Impact Algorithm) tool. Verified data for the HP 200 series from 2020 (Snippet 1.1) confirms that the **Manufacturing (A1-A3)** portion for this model family is approximately **40%**. 
Applying this 40% ratio to the 660 kg total yields a cradle-to-gate value of **264 kg CO2e**. This is further validated by peer data from the same generation, such as the **Dell OptiPlex 5260** (Total 461 kg, A1-A3 198.7 kg or 43.1%), and a bottom-up check summing a contemporary desktop mini (A1-A3 ~144 kg) and a 21.5" LCD panel (A1-A3 ~110 kg).
*cf_value = 264.0
Emissions Factors: [PCMI cradle-to-gate carbon footprints or emissions factors used]
*ef_name_1 = HP 200 G4 22 All-in-One PC Manufacturing (A1-A3)
*ef_value_1 = 264.0
*ef_publisher_1 = HP Inc.
*ef_date_1 = 2020
*ef_applicability_1 = Direct successor in the same family/chassis; report reflects 2018-era PAIA modeling standards.
*ef_methodology_1 = PAIA Mean Total 660 kg CO2e with 40% manufacturing allocation (verified via LUT university LCA database).
*ef_name_2 = Dell OptiPlex 5260 All-in-One Manufacturing (A1-A3)
*ef_value_2 = 198.7
*ef_publisher_2 = Dell Technologies
*ef_date_2 = 2018
*ef_applicability_2 = Direct technical peer (21.5" AIO, 8th Gen Intel) representing the entry-level commercial market.
*ef_methodology_2 = PAIA Total 461 kg CO2e; Manufacturing breakout 43.1%.
*ef_name_3 = HP 200 G3 All-in-One Business PC PCF Report (Tier 1)
*ef_value_3 = 660.0
*ef_publisher_3 = HP Inc.
*ef_date_3 = 2018
*ef_applicability_3 = Official PCF report for the exact model; provides the total lifecycle baseline.
*ef_methodology_3 = HP Product Carbon Footprint Report (October 31, 2018).
*ef_name_4 = HP ProDesk 400 G5 Desktop Mini Manufacturing (A1-A3)
*ef_value_4 = 144.0
*ef_publisher_4 = HP Inc.
*ef_date_4 = 2019
*ef_applicability_4 = Component proxy for the PC subassembly (excluding display) of contemporary 200/400 series.
*ef_methodology_4 = 45% of 320 kg CO2e (mean total for ProDesk 400 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</si>
</sst>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Fill="1" applyAlignment="1"/>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1"/>
  <sheetViews>
    <sheetView tabSelected="1" workbookViewId="0">
      <selection activeCell="A50" sqref="A50"/>
    </sheetView>
  </sheetViews>
  <sheetFormatPr baseColWidth="10" defaultColWidth="8.83203125" defaultRowHeight="15" x14ac:dyDescent="0.2"/>
  <cols>
    <col min="1" max="2" width="8.83203125" style="1"/>
    <col min="3" max="9" width="8.83203125" style="1" customWidth="1"/>
    <col min="10" max="16384" width="8.83203125" style="1"/>
  </cols>
  <sheetData>
    <row r="1" spans="1:19" x14ac:dyDescent="0.2">
      <c r="A1" s="2" t="s">
        <v>0</v>
      </c>
      <c r="B1" s="2" t="s">
        <v>6</v>
      </c>
      <c r="C1" s="2" t="s">
        <v>17</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row>
    <row r="2" spans="1:19" x14ac:dyDescent="0.2">
      <c r="A2" s="1" t="s">
        <v>18</v>
      </c>
      <c r="B2" s="1" t="s">
        <v>326</v>
      </c>
      <c r="C2" s="1" t="s">
        <v>21</v>
      </c>
      <c r="D2" s="1">
        <v>390</v>
      </c>
      <c r="E2" s="1">
        <v>402</v>
      </c>
      <c r="F2" s="1">
        <v>396</v>
      </c>
      <c r="G2" s="1">
        <v>2720</v>
      </c>
      <c r="H2" s="1">
        <f>F2/Q2</f>
        <v>0.8839285714285714</v>
      </c>
      <c r="I2">
        <v>380.8</v>
      </c>
      <c r="J2" s="1">
        <f>ABS((I2-F2)/F2)</f>
        <v>3.8383838383838353E-2</v>
      </c>
      <c r="K2" s="1">
        <v>1</v>
      </c>
      <c r="M2" s="1">
        <v>359</v>
      </c>
      <c r="N2" s="1">
        <f>ABS((M2-F2)/F2)</f>
        <v>9.3434343434343439E-2</v>
      </c>
      <c r="O2" s="1" t="s">
        <v>19</v>
      </c>
      <c r="Q2" s="1">
        <v>448</v>
      </c>
      <c r="R2" s="1">
        <f>ABS((Q2-F2)/F2)</f>
        <v>0.13131313131313133</v>
      </c>
      <c r="S2" s="1" t="s">
        <v>20</v>
      </c>
    </row>
    <row r="3" spans="1:19" x14ac:dyDescent="0.2">
      <c r="A3" s="1" t="s">
        <v>22</v>
      </c>
      <c r="B3" s="1" t="s">
        <v>327</v>
      </c>
      <c r="C3" s="1" t="s">
        <v>25</v>
      </c>
      <c r="D3" s="1">
        <v>1736</v>
      </c>
      <c r="E3" s="1">
        <v>1825</v>
      </c>
      <c r="F3" s="1">
        <v>1780.5</v>
      </c>
      <c r="G3" s="1">
        <v>36787</v>
      </c>
      <c r="H3" s="1">
        <f t="shared" ref="H3:H17" si="0">F3/Q3</f>
        <v>2.7690513219284605</v>
      </c>
      <c r="I3">
        <v>1839.35</v>
      </c>
      <c r="J3" s="1">
        <f t="shared" ref="J3:J66" si="1">ABS((I3-F3)/F3)</f>
        <v>3.3052513338949679E-2</v>
      </c>
      <c r="K3" s="1">
        <v>1</v>
      </c>
      <c r="M3" s="1">
        <v>1128</v>
      </c>
      <c r="N3" s="1">
        <f t="shared" ref="N3:N66" si="2">ABS((M3-F3)/F3)</f>
        <v>0.36647009267059816</v>
      </c>
      <c r="O3" s="1" t="s">
        <v>23</v>
      </c>
      <c r="Q3" s="1">
        <v>643</v>
      </c>
      <c r="R3" s="1">
        <f t="shared" ref="R3:R66" si="3">ABS((Q3-F3)/F3)</f>
        <v>0.63886548722269021</v>
      </c>
      <c r="S3" s="1" t="s">
        <v>24</v>
      </c>
    </row>
    <row r="4" spans="1:19" x14ac:dyDescent="0.2">
      <c r="A4" s="1" t="s">
        <v>26</v>
      </c>
      <c r="B4" s="1" t="s">
        <v>328</v>
      </c>
      <c r="C4" s="1" t="s">
        <v>29</v>
      </c>
      <c r="D4" s="1">
        <v>250</v>
      </c>
      <c r="E4" s="1">
        <v>266</v>
      </c>
      <c r="F4" s="1">
        <v>258</v>
      </c>
      <c r="G4" s="1">
        <v>5054</v>
      </c>
      <c r="H4" s="1">
        <f t="shared" si="0"/>
        <v>0.5758928571428571</v>
      </c>
      <c r="I4">
        <v>230</v>
      </c>
      <c r="J4" s="1">
        <f t="shared" si="1"/>
        <v>0.10852713178294573</v>
      </c>
      <c r="K4" s="1">
        <v>1</v>
      </c>
      <c r="M4" s="1">
        <v>3366.96</v>
      </c>
      <c r="N4" s="1">
        <f t="shared" si="2"/>
        <v>12.050232558139536</v>
      </c>
      <c r="O4" s="1" t="s">
        <v>27</v>
      </c>
      <c r="Q4" s="1">
        <v>448</v>
      </c>
      <c r="R4" s="1">
        <f t="shared" si="3"/>
        <v>0.73643410852713176</v>
      </c>
      <c r="S4" s="1" t="s">
        <v>28</v>
      </c>
    </row>
    <row r="5" spans="1:19" x14ac:dyDescent="0.2">
      <c r="A5" s="1" t="s">
        <v>30</v>
      </c>
      <c r="B5" s="1" t="s">
        <v>329</v>
      </c>
      <c r="C5" s="1" t="s">
        <v>33</v>
      </c>
      <c r="D5" s="1">
        <v>207</v>
      </c>
      <c r="E5" s="1">
        <v>219</v>
      </c>
      <c r="F5" s="1">
        <v>213</v>
      </c>
      <c r="G5" s="1">
        <v>1926</v>
      </c>
      <c r="H5" s="1">
        <f t="shared" si="0"/>
        <v>0.57544238822099147</v>
      </c>
      <c r="I5">
        <v>448</v>
      </c>
      <c r="J5" s="1">
        <f t="shared" si="1"/>
        <v>1.1032863849765258</v>
      </c>
      <c r="K5" s="1">
        <v>1</v>
      </c>
      <c r="M5" s="1">
        <v>2697.29</v>
      </c>
      <c r="N5" s="1">
        <f t="shared" si="2"/>
        <v>11.663333333333334</v>
      </c>
      <c r="O5" s="1" t="s">
        <v>31</v>
      </c>
      <c r="Q5" s="1">
        <v>370.15</v>
      </c>
      <c r="R5" s="1">
        <f t="shared" si="3"/>
        <v>0.73779342723004682</v>
      </c>
      <c r="S5" s="1" t="s">
        <v>32</v>
      </c>
    </row>
    <row r="6" spans="1:19" x14ac:dyDescent="0.2">
      <c r="A6" s="1" t="s">
        <v>34</v>
      </c>
      <c r="B6" s="1" t="s">
        <v>330</v>
      </c>
      <c r="C6" s="1" t="s">
        <v>37</v>
      </c>
      <c r="D6" s="1">
        <v>239</v>
      </c>
      <c r="E6" s="1">
        <v>253</v>
      </c>
      <c r="F6" s="1">
        <v>246</v>
      </c>
      <c r="G6" s="1">
        <v>2772</v>
      </c>
      <c r="H6" s="1">
        <f t="shared" si="0"/>
        <v>0.92616994842061662</v>
      </c>
      <c r="I6">
        <v>445</v>
      </c>
      <c r="J6" s="1">
        <f t="shared" si="1"/>
        <v>0.80894308943089432</v>
      </c>
      <c r="K6" s="1">
        <v>1</v>
      </c>
      <c r="M6" s="1">
        <v>17592</v>
      </c>
      <c r="N6" s="1">
        <f t="shared" si="2"/>
        <v>70.512195121951223</v>
      </c>
      <c r="O6" s="1" t="s">
        <v>35</v>
      </c>
      <c r="Q6" s="1">
        <v>265.61</v>
      </c>
      <c r="R6" s="1">
        <f t="shared" si="3"/>
        <v>7.9715447154471597E-2</v>
      </c>
      <c r="S6" s="1" t="s">
        <v>36</v>
      </c>
    </row>
    <row r="7" spans="1:19" x14ac:dyDescent="0.2">
      <c r="A7" s="1" t="s">
        <v>38</v>
      </c>
      <c r="B7" s="1" t="s">
        <v>331</v>
      </c>
      <c r="C7" s="1" t="s">
        <v>41</v>
      </c>
      <c r="D7" s="1">
        <v>106</v>
      </c>
      <c r="E7" s="1">
        <v>109</v>
      </c>
      <c r="F7" s="1">
        <v>107.5</v>
      </c>
      <c r="G7" s="1">
        <v>588</v>
      </c>
      <c r="H7" s="1">
        <f t="shared" si="0"/>
        <v>1.34375</v>
      </c>
      <c r="I7">
        <v>84.8</v>
      </c>
      <c r="J7" s="1">
        <f t="shared" si="1"/>
        <v>0.21116279069767444</v>
      </c>
      <c r="K7" s="1">
        <v>1</v>
      </c>
      <c r="M7" s="1">
        <v>723.48</v>
      </c>
      <c r="N7" s="1">
        <f t="shared" si="2"/>
        <v>5.7300465116279069</v>
      </c>
      <c r="O7" s="1" t="s">
        <v>39</v>
      </c>
      <c r="Q7" s="1">
        <v>80</v>
      </c>
      <c r="R7" s="1">
        <f t="shared" si="3"/>
        <v>0.2558139534883721</v>
      </c>
      <c r="S7" s="1" t="s">
        <v>40</v>
      </c>
    </row>
    <row r="8" spans="1:19" x14ac:dyDescent="0.2">
      <c r="A8" s="1" t="s">
        <v>42</v>
      </c>
      <c r="B8" s="1" t="s">
        <v>332</v>
      </c>
      <c r="C8" s="1" t="s">
        <v>45</v>
      </c>
      <c r="D8" s="1">
        <v>50</v>
      </c>
      <c r="E8" s="1">
        <v>52</v>
      </c>
      <c r="F8" s="1">
        <v>51</v>
      </c>
      <c r="G8" s="1">
        <v>256</v>
      </c>
      <c r="H8" s="1">
        <f t="shared" si="0"/>
        <v>2.0110410094637223</v>
      </c>
      <c r="I8">
        <v>48.3</v>
      </c>
      <c r="J8" s="1">
        <f t="shared" si="1"/>
        <v>5.294117647058829E-2</v>
      </c>
      <c r="K8" s="1">
        <v>1</v>
      </c>
      <c r="M8" s="1">
        <v>139.07</v>
      </c>
      <c r="N8" s="1">
        <f t="shared" si="2"/>
        <v>1.7268627450980392</v>
      </c>
      <c r="O8" s="1" t="s">
        <v>43</v>
      </c>
      <c r="Q8" s="1">
        <v>25.36</v>
      </c>
      <c r="R8" s="1">
        <f t="shared" si="3"/>
        <v>0.50274509803921574</v>
      </c>
      <c r="S8" s="1" t="s">
        <v>44</v>
      </c>
    </row>
    <row r="9" spans="1:19" x14ac:dyDescent="0.2">
      <c r="A9" s="1" t="s">
        <v>46</v>
      </c>
      <c r="B9" s="1" t="s">
        <v>333</v>
      </c>
      <c r="C9" s="1" t="s">
        <v>49</v>
      </c>
      <c r="D9" s="1">
        <v>285</v>
      </c>
      <c r="E9" s="1">
        <v>301</v>
      </c>
      <c r="F9" s="1">
        <v>293</v>
      </c>
      <c r="G9" s="1">
        <v>8939</v>
      </c>
      <c r="H9" s="1">
        <f t="shared" si="0"/>
        <v>1.1809754131398631</v>
      </c>
      <c r="I9">
        <v>268.17</v>
      </c>
      <c r="J9" s="1">
        <f t="shared" si="1"/>
        <v>8.4744027303754216E-2</v>
      </c>
      <c r="K9" s="1">
        <v>1</v>
      </c>
      <c r="M9" s="1">
        <v>27524.5</v>
      </c>
      <c r="N9" s="1">
        <f t="shared" si="2"/>
        <v>92.940273037542667</v>
      </c>
      <c r="O9" s="1" t="s">
        <v>47</v>
      </c>
      <c r="Q9" s="1">
        <v>248.1</v>
      </c>
      <c r="R9" s="1">
        <f t="shared" si="3"/>
        <v>0.15324232081911265</v>
      </c>
      <c r="S9" s="1" t="s">
        <v>48</v>
      </c>
    </row>
    <row r="10" spans="1:19" x14ac:dyDescent="0.2">
      <c r="A10" s="1" t="s">
        <v>50</v>
      </c>
      <c r="B10" s="1" t="s">
        <v>334</v>
      </c>
      <c r="C10" s="1" t="s">
        <v>53</v>
      </c>
      <c r="D10" s="1">
        <v>91</v>
      </c>
      <c r="E10" s="1">
        <v>111</v>
      </c>
      <c r="F10" s="1">
        <v>101</v>
      </c>
      <c r="G10" s="1">
        <v>575</v>
      </c>
      <c r="H10" s="1">
        <f t="shared" si="0"/>
        <v>1.4346590909090908</v>
      </c>
      <c r="I10">
        <v>144.19999999999999</v>
      </c>
      <c r="J10" s="1">
        <f t="shared" si="1"/>
        <v>0.4277227722772276</v>
      </c>
      <c r="K10" s="1">
        <v>1</v>
      </c>
      <c r="M10" s="1">
        <v>555.99</v>
      </c>
      <c r="N10" s="1">
        <f t="shared" si="2"/>
        <v>4.5048514851485146</v>
      </c>
      <c r="O10" s="1" t="s">
        <v>51</v>
      </c>
      <c r="Q10" s="1">
        <v>70.400000000000006</v>
      </c>
      <c r="R10" s="1">
        <f t="shared" si="3"/>
        <v>0.30297029702970291</v>
      </c>
      <c r="S10" s="1" t="s">
        <v>52</v>
      </c>
    </row>
    <row r="11" spans="1:19" x14ac:dyDescent="0.2">
      <c r="A11" s="1" t="s">
        <v>54</v>
      </c>
      <c r="B11" s="1" t="s">
        <v>335</v>
      </c>
      <c r="C11" s="1" t="s">
        <v>57</v>
      </c>
      <c r="D11" s="1">
        <v>93</v>
      </c>
      <c r="E11" s="1">
        <v>98</v>
      </c>
      <c r="F11" s="1">
        <v>95.5</v>
      </c>
      <c r="G11" s="1">
        <v>914</v>
      </c>
      <c r="H11" s="1">
        <f t="shared" si="0"/>
        <v>0.74031007751937983</v>
      </c>
      <c r="I11">
        <v>194</v>
      </c>
      <c r="J11" s="1">
        <f t="shared" si="1"/>
        <v>1.0314136125654449</v>
      </c>
      <c r="K11" s="1">
        <v>1</v>
      </c>
      <c r="M11" s="1">
        <v>972</v>
      </c>
      <c r="N11" s="1">
        <f t="shared" si="2"/>
        <v>9.178010471204189</v>
      </c>
      <c r="O11" s="1" t="s">
        <v>55</v>
      </c>
      <c r="Q11" s="1">
        <v>129</v>
      </c>
      <c r="R11" s="1">
        <f t="shared" si="3"/>
        <v>0.35078534031413611</v>
      </c>
      <c r="S11" s="1" t="s">
        <v>56</v>
      </c>
    </row>
    <row r="12" spans="1:19" x14ac:dyDescent="0.2">
      <c r="A12" s="1" t="s">
        <v>58</v>
      </c>
      <c r="B12" s="1" t="s">
        <v>336</v>
      </c>
      <c r="C12" s="1" t="s">
        <v>61</v>
      </c>
      <c r="D12" s="1">
        <v>146</v>
      </c>
      <c r="E12" s="1">
        <v>156</v>
      </c>
      <c r="F12" s="1">
        <v>151</v>
      </c>
      <c r="G12" s="1">
        <v>1477</v>
      </c>
      <c r="H12" s="1">
        <f t="shared" si="0"/>
        <v>0.57196969696969702</v>
      </c>
      <c r="I12">
        <v>118.16</v>
      </c>
      <c r="J12" s="1">
        <f t="shared" si="1"/>
        <v>0.21748344370860928</v>
      </c>
      <c r="K12" s="1">
        <v>1</v>
      </c>
      <c r="M12" s="1">
        <v>226</v>
      </c>
      <c r="N12" s="1">
        <f t="shared" si="2"/>
        <v>0.49668874172185429</v>
      </c>
      <c r="O12" s="1" t="s">
        <v>59</v>
      </c>
      <c r="Q12" s="1">
        <v>264</v>
      </c>
      <c r="R12" s="1">
        <f t="shared" si="3"/>
        <v>0.7483443708609272</v>
      </c>
      <c r="S12" s="1" t="s">
        <v>60</v>
      </c>
    </row>
    <row r="13" spans="1:19" x14ac:dyDescent="0.2">
      <c r="A13" s="1" t="s">
        <v>62</v>
      </c>
      <c r="B13" s="1" t="s">
        <v>337</v>
      </c>
      <c r="C13" s="1" t="s">
        <v>65</v>
      </c>
      <c r="D13" s="1">
        <v>77</v>
      </c>
      <c r="E13" s="1">
        <v>84</v>
      </c>
      <c r="F13" s="1">
        <v>80.5</v>
      </c>
      <c r="G13" s="1">
        <v>157</v>
      </c>
      <c r="H13" s="1">
        <f t="shared" si="0"/>
        <v>1.2745408486383787</v>
      </c>
      <c r="I13">
        <v>49.8</v>
      </c>
      <c r="J13" s="1">
        <f t="shared" si="1"/>
        <v>0.38136645962732924</v>
      </c>
      <c r="K13" s="1">
        <v>1</v>
      </c>
      <c r="M13" s="1">
        <v>1184.18</v>
      </c>
      <c r="N13" s="1">
        <f t="shared" si="2"/>
        <v>13.710310559006212</v>
      </c>
      <c r="O13" s="1" t="s">
        <v>63</v>
      </c>
      <c r="Q13" s="1">
        <v>63.16</v>
      </c>
      <c r="R13" s="1">
        <f t="shared" si="3"/>
        <v>0.21540372670807459</v>
      </c>
      <c r="S13" s="1" t="s">
        <v>64</v>
      </c>
    </row>
    <row r="14" spans="1:19" x14ac:dyDescent="0.2">
      <c r="A14" s="1" t="s">
        <v>66</v>
      </c>
      <c r="B14" s="1" t="s">
        <v>338</v>
      </c>
      <c r="C14" s="1" t="s">
        <v>69</v>
      </c>
      <c r="D14" s="1">
        <v>480</v>
      </c>
      <c r="E14" s="1">
        <v>500</v>
      </c>
      <c r="F14" s="1">
        <v>490</v>
      </c>
      <c r="G14" s="1">
        <v>892</v>
      </c>
      <c r="H14" s="1">
        <f t="shared" si="0"/>
        <v>0.70402298850574707</v>
      </c>
      <c r="I14">
        <v>428.16</v>
      </c>
      <c r="J14" s="1">
        <f t="shared" si="1"/>
        <v>0.12620408163265301</v>
      </c>
      <c r="K14" s="1">
        <v>1</v>
      </c>
      <c r="M14" s="1">
        <v>459</v>
      </c>
      <c r="N14" s="1">
        <f t="shared" si="2"/>
        <v>6.3265306122448975E-2</v>
      </c>
      <c r="O14" s="1" t="s">
        <v>67</v>
      </c>
      <c r="Q14" s="1">
        <v>696</v>
      </c>
      <c r="R14" s="1">
        <f t="shared" si="3"/>
        <v>0.42040816326530611</v>
      </c>
      <c r="S14" s="1" t="s">
        <v>68</v>
      </c>
    </row>
    <row r="15" spans="1:19" x14ac:dyDescent="0.2">
      <c r="A15" s="1" t="s">
        <v>70</v>
      </c>
      <c r="B15" s="1" t="s">
        <v>339</v>
      </c>
      <c r="C15" s="1" t="s">
        <v>73</v>
      </c>
      <c r="D15" s="1">
        <v>25</v>
      </c>
      <c r="E15" s="1">
        <v>27</v>
      </c>
      <c r="F15" s="1">
        <v>26</v>
      </c>
      <c r="G15" s="1">
        <v>75</v>
      </c>
      <c r="H15" s="1">
        <f t="shared" si="0"/>
        <v>0.99123141441097973</v>
      </c>
      <c r="I15">
        <v>50.11</v>
      </c>
      <c r="J15" s="1">
        <f t="shared" si="1"/>
        <v>0.92730769230769228</v>
      </c>
      <c r="K15" s="1">
        <v>1</v>
      </c>
      <c r="M15" s="1">
        <v>21.6</v>
      </c>
      <c r="N15" s="1">
        <f t="shared" si="2"/>
        <v>0.16923076923076918</v>
      </c>
      <c r="O15" s="1" t="s">
        <v>71</v>
      </c>
      <c r="Q15" s="1">
        <v>26.23</v>
      </c>
      <c r="R15" s="1">
        <f t="shared" si="3"/>
        <v>8.846153846153863E-3</v>
      </c>
      <c r="S15" s="1" t="s">
        <v>72</v>
      </c>
    </row>
    <row r="16" spans="1:19" x14ac:dyDescent="0.2">
      <c r="A16" s="1" t="s">
        <v>74</v>
      </c>
      <c r="B16" s="1" t="s">
        <v>340</v>
      </c>
      <c r="C16" s="1" t="s">
        <v>77</v>
      </c>
      <c r="D16" s="1">
        <v>25</v>
      </c>
      <c r="E16" s="1">
        <v>27</v>
      </c>
      <c r="F16" s="1">
        <v>26</v>
      </c>
      <c r="G16" s="1">
        <v>76</v>
      </c>
      <c r="H16" s="1">
        <f t="shared" si="0"/>
        <v>0.87867522811760734</v>
      </c>
      <c r="I16">
        <v>29.4</v>
      </c>
      <c r="J16" s="1">
        <f t="shared" si="1"/>
        <v>0.13076923076923072</v>
      </c>
      <c r="K16" s="1">
        <v>1</v>
      </c>
      <c r="M16" s="1">
        <v>137.72</v>
      </c>
      <c r="N16" s="1">
        <f t="shared" si="2"/>
        <v>4.2969230769230773</v>
      </c>
      <c r="O16" s="1" t="s">
        <v>75</v>
      </c>
      <c r="Q16" s="1">
        <v>29.59</v>
      </c>
      <c r="R16" s="1">
        <f t="shared" si="3"/>
        <v>0.13807692307692307</v>
      </c>
      <c r="S16" s="1" t="s">
        <v>76</v>
      </c>
    </row>
    <row r="17" spans="1:19" x14ac:dyDescent="0.2">
      <c r="A17" s="1" t="s">
        <v>78</v>
      </c>
      <c r="B17" s="1" t="s">
        <v>341</v>
      </c>
      <c r="C17" s="1" t="s">
        <v>81</v>
      </c>
      <c r="D17" s="1">
        <v>54</v>
      </c>
      <c r="E17" s="1">
        <v>69</v>
      </c>
      <c r="F17" s="1">
        <v>61.5</v>
      </c>
      <c r="G17" s="1">
        <v>260</v>
      </c>
      <c r="H17" s="1">
        <f t="shared" si="0"/>
        <v>2.2593681116825866</v>
      </c>
      <c r="I17">
        <v>36.56</v>
      </c>
      <c r="J17" s="1">
        <f t="shared" si="1"/>
        <v>0.40552845528455284</v>
      </c>
      <c r="K17" s="1">
        <v>1</v>
      </c>
      <c r="M17" s="1">
        <v>68</v>
      </c>
      <c r="N17" s="1">
        <f t="shared" si="2"/>
        <v>0.10569105691056911</v>
      </c>
      <c r="O17" s="1" t="s">
        <v>79</v>
      </c>
      <c r="Q17" s="1">
        <v>27.22</v>
      </c>
      <c r="R17" s="1">
        <f t="shared" si="3"/>
        <v>0.55739837398373981</v>
      </c>
      <c r="S17" s="1" t="s">
        <v>80</v>
      </c>
    </row>
    <row r="18" spans="1:19" x14ac:dyDescent="0.2">
      <c r="A18" s="1" t="s">
        <v>82</v>
      </c>
      <c r="B18" s="1" t="s">
        <v>342</v>
      </c>
      <c r="C18" s="1" t="s">
        <v>85</v>
      </c>
      <c r="D18" s="1">
        <v>206.72</v>
      </c>
      <c r="E18" s="1">
        <v>206.72</v>
      </c>
      <c r="F18" s="1">
        <v>206.72</v>
      </c>
      <c r="I18">
        <v>206.72</v>
      </c>
      <c r="J18" s="1">
        <f t="shared" si="1"/>
        <v>0</v>
      </c>
      <c r="M18" s="1">
        <v>780.31</v>
      </c>
      <c r="N18" s="1">
        <f t="shared" si="2"/>
        <v>2.7747194272445816</v>
      </c>
      <c r="O18" s="1" t="s">
        <v>83</v>
      </c>
      <c r="Q18" s="1">
        <v>156.65</v>
      </c>
      <c r="R18" s="1">
        <f t="shared" si="3"/>
        <v>0.24221168730650153</v>
      </c>
      <c r="S18" s="1" t="s">
        <v>84</v>
      </c>
    </row>
    <row r="19" spans="1:19" x14ac:dyDescent="0.2">
      <c r="A19" s="1" t="s">
        <v>86</v>
      </c>
      <c r="B19" s="1" t="s">
        <v>343</v>
      </c>
      <c r="C19" s="1" t="s">
        <v>89</v>
      </c>
      <c r="D19" s="1">
        <v>57.34</v>
      </c>
      <c r="E19" s="1">
        <v>57.34</v>
      </c>
      <c r="F19" s="1">
        <v>57.34</v>
      </c>
      <c r="I19">
        <v>45.08</v>
      </c>
      <c r="J19" s="1">
        <f t="shared" si="1"/>
        <v>0.21381234740146501</v>
      </c>
      <c r="M19" s="1">
        <v>243.51</v>
      </c>
      <c r="N19" s="1">
        <f t="shared" si="2"/>
        <v>3.2467736309731423</v>
      </c>
      <c r="O19" s="1" t="s">
        <v>87</v>
      </c>
      <c r="Q19" s="1">
        <v>63.8</v>
      </c>
      <c r="R19" s="1">
        <f t="shared" si="3"/>
        <v>0.11266131845134275</v>
      </c>
      <c r="S19" s="1" t="s">
        <v>88</v>
      </c>
    </row>
    <row r="20" spans="1:19" x14ac:dyDescent="0.2">
      <c r="A20" s="1" t="s">
        <v>90</v>
      </c>
      <c r="B20" s="1" t="s">
        <v>344</v>
      </c>
      <c r="C20" s="1" t="s">
        <v>93</v>
      </c>
      <c r="D20" s="1">
        <v>58.88</v>
      </c>
      <c r="E20" s="1">
        <v>58.88</v>
      </c>
      <c r="F20" s="1">
        <v>58.88</v>
      </c>
      <c r="I20">
        <v>58.88</v>
      </c>
      <c r="J20" s="1">
        <f t="shared" si="1"/>
        <v>0</v>
      </c>
      <c r="M20" s="1">
        <v>37.08</v>
      </c>
      <c r="N20" s="1">
        <f t="shared" si="2"/>
        <v>0.37024456521739135</v>
      </c>
      <c r="O20" s="1" t="s">
        <v>91</v>
      </c>
      <c r="Q20" s="1">
        <v>60.72</v>
      </c>
      <c r="R20" s="1">
        <f t="shared" si="3"/>
        <v>3.1249999999999938E-2</v>
      </c>
      <c r="S20" s="1" t="s">
        <v>92</v>
      </c>
    </row>
    <row r="21" spans="1:19" x14ac:dyDescent="0.2">
      <c r="A21" s="1" t="s">
        <v>94</v>
      </c>
      <c r="B21" s="1" t="s">
        <v>345</v>
      </c>
      <c r="C21" s="1" t="s">
        <v>97</v>
      </c>
      <c r="D21" s="1">
        <v>105.27</v>
      </c>
      <c r="E21" s="1">
        <v>105.27</v>
      </c>
      <c r="F21" s="1">
        <v>105.27</v>
      </c>
      <c r="I21">
        <v>105.27</v>
      </c>
      <c r="J21" s="1">
        <f t="shared" si="1"/>
        <v>0</v>
      </c>
      <c r="M21" s="1">
        <v>2244.31</v>
      </c>
      <c r="N21" s="1">
        <f t="shared" si="2"/>
        <v>20.319559228650139</v>
      </c>
      <c r="O21" s="1" t="s">
        <v>95</v>
      </c>
      <c r="Q21" s="1">
        <v>1358</v>
      </c>
      <c r="R21" s="1">
        <f t="shared" si="3"/>
        <v>11.900161489503184</v>
      </c>
      <c r="S21" s="1" t="s">
        <v>96</v>
      </c>
    </row>
    <row r="22" spans="1:19" x14ac:dyDescent="0.2">
      <c r="A22" s="1" t="s">
        <v>98</v>
      </c>
      <c r="B22" s="1" t="s">
        <v>346</v>
      </c>
      <c r="C22" s="1" t="s">
        <v>101</v>
      </c>
      <c r="D22" s="1">
        <v>4.1820000000000004</v>
      </c>
      <c r="E22" s="1">
        <v>4.1820000000000004</v>
      </c>
      <c r="F22" s="1">
        <v>4.1820000000000004</v>
      </c>
      <c r="I22">
        <v>7.05</v>
      </c>
      <c r="J22" s="1">
        <f t="shared" si="1"/>
        <v>0.68579626972740293</v>
      </c>
      <c r="K22" s="1">
        <f>AVERAGE(J19,J17,J15,J14,J13,J10,J8,J7,J5)</f>
        <v>0.42770357340841209</v>
      </c>
      <c r="M22" s="1">
        <v>63.33</v>
      </c>
      <c r="N22" s="1">
        <f t="shared" si="2"/>
        <v>14.143472022955521</v>
      </c>
      <c r="O22" s="1" t="s">
        <v>99</v>
      </c>
      <c r="Q22" s="1">
        <v>30.16</v>
      </c>
      <c r="R22" s="1">
        <f t="shared" si="3"/>
        <v>6.2118603538976567</v>
      </c>
      <c r="S22" s="1" t="s">
        <v>100</v>
      </c>
    </row>
    <row r="23" spans="1:19" x14ac:dyDescent="0.2">
      <c r="A23" s="1" t="s">
        <v>102</v>
      </c>
      <c r="B23" s="1" t="s">
        <v>347</v>
      </c>
      <c r="C23" s="1" t="s">
        <v>105</v>
      </c>
      <c r="D23" s="1">
        <v>192.51</v>
      </c>
      <c r="E23" s="1">
        <v>192.51</v>
      </c>
      <c r="F23" s="1">
        <v>192.51</v>
      </c>
      <c r="I23">
        <v>192.51</v>
      </c>
      <c r="J23" s="1">
        <f t="shared" si="1"/>
        <v>0</v>
      </c>
      <c r="M23" s="1">
        <v>1219.51</v>
      </c>
      <c r="N23" s="1">
        <f t="shared" si="2"/>
        <v>5.3347878032310012</v>
      </c>
      <c r="O23" s="1" t="s">
        <v>103</v>
      </c>
      <c r="Q23" s="1">
        <v>53.21</v>
      </c>
      <c r="R23" s="1">
        <f t="shared" si="3"/>
        <v>0.72359877408965767</v>
      </c>
      <c r="S23" s="1" t="s">
        <v>104</v>
      </c>
    </row>
    <row r="24" spans="1:19" x14ac:dyDescent="0.2">
      <c r="A24" s="1" t="s">
        <v>106</v>
      </c>
      <c r="B24" s="1" t="s">
        <v>348</v>
      </c>
      <c r="C24" s="1" t="s">
        <v>109</v>
      </c>
      <c r="D24" s="1">
        <v>61.1</v>
      </c>
      <c r="E24" s="1">
        <v>61.1</v>
      </c>
      <c r="F24" s="1">
        <v>61.1</v>
      </c>
      <c r="I24">
        <v>62.4</v>
      </c>
      <c r="J24" s="1">
        <f t="shared" si="1"/>
        <v>2.1276595744680805E-2</v>
      </c>
      <c r="M24" s="1">
        <v>70.56</v>
      </c>
      <c r="N24" s="1">
        <f t="shared" si="2"/>
        <v>0.15482815057283145</v>
      </c>
      <c r="O24" s="1" t="s">
        <v>107</v>
      </c>
      <c r="Q24" s="1">
        <v>168</v>
      </c>
      <c r="R24" s="1">
        <f t="shared" si="3"/>
        <v>1.7495908346972178</v>
      </c>
      <c r="S24" s="1" t="s">
        <v>108</v>
      </c>
    </row>
    <row r="25" spans="1:19" x14ac:dyDescent="0.2">
      <c r="A25" s="1" t="s">
        <v>110</v>
      </c>
      <c r="B25" s="1" t="s">
        <v>349</v>
      </c>
      <c r="C25" s="1" t="s">
        <v>113</v>
      </c>
      <c r="D25" s="1">
        <v>142.80000000000001</v>
      </c>
      <c r="E25" s="1">
        <v>142.80000000000001</v>
      </c>
      <c r="F25" s="1">
        <v>142.80000000000001</v>
      </c>
      <c r="I25">
        <v>151.46</v>
      </c>
      <c r="J25" s="1">
        <f t="shared" si="1"/>
        <v>6.0644257703081204E-2</v>
      </c>
      <c r="M25" s="1">
        <v>246.29</v>
      </c>
      <c r="N25" s="1">
        <f t="shared" si="2"/>
        <v>0.72471988795518183</v>
      </c>
      <c r="O25" s="1" t="s">
        <v>111</v>
      </c>
      <c r="Q25" s="1">
        <v>64.02</v>
      </c>
      <c r="R25" s="1">
        <f t="shared" si="3"/>
        <v>0.5516806722689076</v>
      </c>
      <c r="S25" s="1" t="s">
        <v>112</v>
      </c>
    </row>
    <row r="26" spans="1:19" x14ac:dyDescent="0.2">
      <c r="A26" s="1" t="s">
        <v>114</v>
      </c>
      <c r="B26" s="1" t="s">
        <v>350</v>
      </c>
      <c r="C26" s="1" t="s">
        <v>117</v>
      </c>
      <c r="D26" s="1">
        <v>100.8</v>
      </c>
      <c r="E26" s="1">
        <v>100.8</v>
      </c>
      <c r="F26" s="1">
        <v>100.8</v>
      </c>
      <c r="I26">
        <v>112.8</v>
      </c>
      <c r="J26" s="1">
        <f t="shared" si="1"/>
        <v>0.11904761904761905</v>
      </c>
      <c r="M26" s="1">
        <v>346.5</v>
      </c>
      <c r="N26" s="1">
        <f t="shared" si="2"/>
        <v>2.4375</v>
      </c>
      <c r="O26" s="1" t="s">
        <v>115</v>
      </c>
      <c r="Q26" s="1">
        <v>104.76</v>
      </c>
      <c r="R26" s="1">
        <f t="shared" si="3"/>
        <v>3.9285714285714368E-2</v>
      </c>
      <c r="S26" s="1" t="s">
        <v>116</v>
      </c>
    </row>
    <row r="27" spans="1:19" x14ac:dyDescent="0.2">
      <c r="A27" s="1" t="s">
        <v>118</v>
      </c>
      <c r="B27" s="1" t="s">
        <v>351</v>
      </c>
      <c r="C27" s="1" t="s">
        <v>121</v>
      </c>
      <c r="D27" s="1">
        <v>56.8</v>
      </c>
      <c r="E27" s="1">
        <v>56.8</v>
      </c>
      <c r="F27" s="1">
        <v>56.8</v>
      </c>
      <c r="I27">
        <v>58.4</v>
      </c>
      <c r="J27" s="1">
        <f t="shared" si="1"/>
        <v>2.8169014084507067E-2</v>
      </c>
      <c r="M27" s="1">
        <v>170.25</v>
      </c>
      <c r="N27" s="1">
        <f t="shared" si="2"/>
        <v>1.9973591549295777</v>
      </c>
      <c r="O27" s="1" t="s">
        <v>119</v>
      </c>
      <c r="Q27" s="1">
        <v>87.56</v>
      </c>
      <c r="R27" s="1">
        <f t="shared" si="3"/>
        <v>0.54154929577464805</v>
      </c>
      <c r="S27" s="1" t="s">
        <v>120</v>
      </c>
    </row>
    <row r="28" spans="1:19" x14ac:dyDescent="0.2">
      <c r="A28" s="1" t="s">
        <v>122</v>
      </c>
      <c r="B28" s="1" t="s">
        <v>352</v>
      </c>
      <c r="C28" s="1" t="s">
        <v>125</v>
      </c>
      <c r="D28" s="1">
        <v>88.35</v>
      </c>
      <c r="E28" s="1">
        <v>88.35</v>
      </c>
      <c r="F28" s="1">
        <v>88.35</v>
      </c>
      <c r="I28">
        <v>79.56</v>
      </c>
      <c r="J28" s="1">
        <f t="shared" si="1"/>
        <v>9.9490662139218936E-2</v>
      </c>
      <c r="M28" s="1">
        <v>293.8</v>
      </c>
      <c r="N28" s="1">
        <f t="shared" si="2"/>
        <v>2.3254102999434072</v>
      </c>
      <c r="O28" s="1" t="s">
        <v>123</v>
      </c>
      <c r="Q28" s="1">
        <v>61.8</v>
      </c>
      <c r="R28" s="1">
        <f t="shared" si="3"/>
        <v>0.30050933786078099</v>
      </c>
      <c r="S28" s="1" t="s">
        <v>124</v>
      </c>
    </row>
    <row r="29" spans="1:19" x14ac:dyDescent="0.2">
      <c r="A29" s="1" t="s">
        <v>126</v>
      </c>
      <c r="C29" s="1" t="s">
        <v>129</v>
      </c>
      <c r="D29" s="1">
        <v>73.150000000000006</v>
      </c>
      <c r="E29" s="1">
        <v>73.150000000000006</v>
      </c>
      <c r="F29" s="1">
        <v>73.150000000000006</v>
      </c>
      <c r="I29">
        <v>73.150000000000006</v>
      </c>
      <c r="J29" s="1">
        <f t="shared" si="1"/>
        <v>0</v>
      </c>
      <c r="M29" s="1">
        <v>281.2</v>
      </c>
      <c r="N29" s="1">
        <f t="shared" si="2"/>
        <v>2.8441558441558437</v>
      </c>
      <c r="O29" s="1" t="s">
        <v>127</v>
      </c>
      <c r="Q29" s="1">
        <v>83</v>
      </c>
      <c r="R29" s="1">
        <f t="shared" si="3"/>
        <v>0.13465481886534508</v>
      </c>
      <c r="S29" s="1" t="s">
        <v>128</v>
      </c>
    </row>
    <row r="30" spans="1:19" x14ac:dyDescent="0.2">
      <c r="A30" s="1" t="s">
        <v>130</v>
      </c>
      <c r="C30" s="1" t="s">
        <v>133</v>
      </c>
      <c r="D30" s="1">
        <v>45.88</v>
      </c>
      <c r="E30" s="1">
        <v>45.88</v>
      </c>
      <c r="F30" s="1">
        <v>45.88</v>
      </c>
      <c r="I30">
        <v>49.52</v>
      </c>
      <c r="J30" s="1">
        <f t="shared" si="1"/>
        <v>7.9337401918047085E-2</v>
      </c>
      <c r="M30" s="1">
        <v>210.37</v>
      </c>
      <c r="N30" s="1">
        <f t="shared" si="2"/>
        <v>3.5852223190932868</v>
      </c>
      <c r="O30" s="1" t="s">
        <v>131</v>
      </c>
      <c r="Q30" s="1">
        <v>59.95</v>
      </c>
      <c r="R30" s="1">
        <f t="shared" si="3"/>
        <v>0.30666957279860507</v>
      </c>
      <c r="S30" s="1" t="s">
        <v>132</v>
      </c>
    </row>
    <row r="31" spans="1:19" x14ac:dyDescent="0.2">
      <c r="A31" s="1" t="s">
        <v>134</v>
      </c>
      <c r="B31" s="1" t="s">
        <v>353</v>
      </c>
      <c r="C31" s="1" t="s">
        <v>137</v>
      </c>
      <c r="D31" s="1">
        <v>24.64</v>
      </c>
      <c r="E31" s="1">
        <v>24.64</v>
      </c>
      <c r="F31" s="1">
        <v>24.64</v>
      </c>
      <c r="I31">
        <v>24.64</v>
      </c>
      <c r="J31" s="1">
        <f t="shared" si="1"/>
        <v>0</v>
      </c>
      <c r="M31" s="1">
        <v>33.799999999999997</v>
      </c>
      <c r="N31" s="1">
        <f t="shared" si="2"/>
        <v>0.37175324675324661</v>
      </c>
      <c r="O31" s="1" t="s">
        <v>135</v>
      </c>
      <c r="Q31" s="1">
        <v>25.86</v>
      </c>
      <c r="R31" s="1">
        <f t="shared" si="3"/>
        <v>4.9512987012986967E-2</v>
      </c>
      <c r="S31" s="1" t="s">
        <v>136</v>
      </c>
    </row>
    <row r="32" spans="1:19" x14ac:dyDescent="0.2">
      <c r="A32" s="1" t="s">
        <v>138</v>
      </c>
      <c r="B32" s="1" t="s">
        <v>354</v>
      </c>
      <c r="C32" s="1" t="s">
        <v>141</v>
      </c>
      <c r="D32" s="1">
        <v>6.16</v>
      </c>
      <c r="E32" s="1">
        <v>6.16</v>
      </c>
      <c r="F32" s="1">
        <v>6.16</v>
      </c>
      <c r="I32">
        <v>8.4</v>
      </c>
      <c r="J32" s="1">
        <f t="shared" si="1"/>
        <v>0.36363636363636365</v>
      </c>
      <c r="M32" s="1">
        <v>251.69</v>
      </c>
      <c r="N32" s="1">
        <f t="shared" si="2"/>
        <v>39.858766233766232</v>
      </c>
      <c r="O32" s="1" t="s">
        <v>139</v>
      </c>
      <c r="Q32" s="1">
        <v>17.48</v>
      </c>
      <c r="R32" s="1">
        <f t="shared" si="3"/>
        <v>1.8376623376623378</v>
      </c>
      <c r="S32" s="1" t="s">
        <v>140</v>
      </c>
    </row>
    <row r="33" spans="1:19" x14ac:dyDescent="0.2">
      <c r="A33" s="1" t="s">
        <v>142</v>
      </c>
      <c r="B33" s="1" t="s">
        <v>355</v>
      </c>
      <c r="C33" s="1" t="s">
        <v>145</v>
      </c>
      <c r="D33" s="1">
        <v>167.7</v>
      </c>
      <c r="E33" s="1">
        <v>167.7</v>
      </c>
      <c r="F33" s="1">
        <v>167.7</v>
      </c>
      <c r="I33">
        <v>541.20000000000005</v>
      </c>
      <c r="J33" s="1">
        <f t="shared" si="1"/>
        <v>2.2271914132379256</v>
      </c>
      <c r="M33" s="1">
        <v>67.2</v>
      </c>
      <c r="N33" s="1">
        <f t="shared" si="2"/>
        <v>0.59928443649373875</v>
      </c>
      <c r="O33" s="1" t="s">
        <v>143</v>
      </c>
      <c r="Q33" s="1">
        <v>311.27</v>
      </c>
      <c r="R33" s="1">
        <f t="shared" si="3"/>
        <v>0.85611210494931422</v>
      </c>
      <c r="S33" s="1" t="s">
        <v>144</v>
      </c>
    </row>
    <row r="34" spans="1:19" x14ac:dyDescent="0.2">
      <c r="A34" s="1" t="s">
        <v>146</v>
      </c>
      <c r="C34" s="1" t="s">
        <v>149</v>
      </c>
      <c r="D34" s="1">
        <v>426.7</v>
      </c>
      <c r="E34" s="1">
        <v>426.7</v>
      </c>
      <c r="F34" s="1">
        <v>426.7</v>
      </c>
      <c r="I34">
        <v>508.2</v>
      </c>
      <c r="J34" s="1">
        <f t="shared" si="1"/>
        <v>0.19100070307007266</v>
      </c>
      <c r="M34" s="1">
        <v>334</v>
      </c>
      <c r="N34" s="1">
        <f t="shared" si="2"/>
        <v>0.21724865244902739</v>
      </c>
      <c r="O34" s="1" t="s">
        <v>147</v>
      </c>
      <c r="Q34" s="1">
        <v>561</v>
      </c>
      <c r="R34" s="1">
        <f t="shared" si="3"/>
        <v>0.31474103585657376</v>
      </c>
      <c r="S34" s="1" t="s">
        <v>148</v>
      </c>
    </row>
    <row r="35" spans="1:19" x14ac:dyDescent="0.2">
      <c r="A35" s="1" t="s">
        <v>150</v>
      </c>
      <c r="C35" s="1" t="s">
        <v>153</v>
      </c>
      <c r="D35" s="1">
        <v>21</v>
      </c>
      <c r="E35" s="1">
        <v>21</v>
      </c>
      <c r="F35" s="1">
        <v>21</v>
      </c>
      <c r="I35">
        <v>21</v>
      </c>
      <c r="J35" s="1">
        <f t="shared" si="1"/>
        <v>0</v>
      </c>
      <c r="M35" s="1">
        <v>12.28</v>
      </c>
      <c r="N35" s="1">
        <f t="shared" si="2"/>
        <v>0.41523809523809529</v>
      </c>
      <c r="O35" s="1" t="s">
        <v>151</v>
      </c>
      <c r="Q35" s="1">
        <v>8.58</v>
      </c>
      <c r="R35" s="1">
        <f t="shared" si="3"/>
        <v>0.59142857142857141</v>
      </c>
      <c r="S35" s="1" t="s">
        <v>152</v>
      </c>
    </row>
    <row r="36" spans="1:19" x14ac:dyDescent="0.2">
      <c r="A36" s="1" t="s">
        <v>154</v>
      </c>
      <c r="C36" s="1" t="s">
        <v>157</v>
      </c>
      <c r="D36" s="1">
        <v>129.5</v>
      </c>
      <c r="E36" s="1">
        <v>129.5</v>
      </c>
      <c r="F36" s="1">
        <v>129.5</v>
      </c>
      <c r="I36">
        <v>175.75</v>
      </c>
      <c r="J36" s="1">
        <f t="shared" si="1"/>
        <v>0.35714285714285715</v>
      </c>
      <c r="M36" s="1">
        <v>309.85000000000002</v>
      </c>
      <c r="N36" s="1">
        <f t="shared" si="2"/>
        <v>1.3926640926640927</v>
      </c>
      <c r="O36" s="1" t="s">
        <v>155</v>
      </c>
      <c r="Q36" s="1">
        <v>289.39</v>
      </c>
      <c r="R36" s="1">
        <f t="shared" si="3"/>
        <v>1.2346718146718145</v>
      </c>
      <c r="S36" s="1" t="s">
        <v>156</v>
      </c>
    </row>
    <row r="37" spans="1:19" x14ac:dyDescent="0.2">
      <c r="A37" s="1" t="s">
        <v>158</v>
      </c>
      <c r="C37" s="1" t="s">
        <v>161</v>
      </c>
      <c r="D37" s="1">
        <v>17.71</v>
      </c>
      <c r="E37" s="1">
        <v>17.71</v>
      </c>
      <c r="F37" s="1">
        <v>17.71</v>
      </c>
      <c r="I37">
        <v>19.21</v>
      </c>
      <c r="J37" s="1">
        <f t="shared" si="1"/>
        <v>8.4697910784867297E-2</v>
      </c>
      <c r="M37" s="1">
        <v>31</v>
      </c>
      <c r="N37" s="1">
        <f t="shared" si="2"/>
        <v>0.75042348955392424</v>
      </c>
      <c r="O37" s="1" t="s">
        <v>159</v>
      </c>
      <c r="Q37" s="1">
        <v>17.71</v>
      </c>
      <c r="R37" s="1">
        <f t="shared" si="3"/>
        <v>0</v>
      </c>
      <c r="S37" s="1" t="s">
        <v>160</v>
      </c>
    </row>
    <row r="38" spans="1:19" x14ac:dyDescent="0.2">
      <c r="A38" s="1" t="s">
        <v>162</v>
      </c>
      <c r="C38" s="1" t="s">
        <v>165</v>
      </c>
      <c r="D38" s="1">
        <v>214</v>
      </c>
      <c r="E38" s="1">
        <v>214</v>
      </c>
      <c r="F38" s="1">
        <v>214</v>
      </c>
      <c r="I38">
        <v>346.6</v>
      </c>
      <c r="J38" s="1">
        <f t="shared" si="1"/>
        <v>0.61962616822429917</v>
      </c>
      <c r="M38" s="1">
        <v>113.95</v>
      </c>
      <c r="N38" s="1">
        <f t="shared" si="2"/>
        <v>0.46752336448598131</v>
      </c>
      <c r="O38" s="1" t="s">
        <v>163</v>
      </c>
      <c r="Q38" s="1">
        <v>256.94</v>
      </c>
      <c r="R38" s="1">
        <f t="shared" si="3"/>
        <v>0.20065420560747663</v>
      </c>
      <c r="S38" s="1" t="s">
        <v>164</v>
      </c>
    </row>
    <row r="39" spans="1:19" x14ac:dyDescent="0.2">
      <c r="A39" s="1" t="s">
        <v>166</v>
      </c>
      <c r="C39" s="1" t="s">
        <v>169</v>
      </c>
      <c r="D39" s="1">
        <v>52.08</v>
      </c>
      <c r="E39" s="1">
        <v>52.08</v>
      </c>
      <c r="F39" s="1">
        <v>52.08</v>
      </c>
      <c r="I39">
        <v>44.88</v>
      </c>
      <c r="J39" s="1">
        <f t="shared" si="1"/>
        <v>0.13824884792626721</v>
      </c>
      <c r="M39" s="1">
        <v>61.92</v>
      </c>
      <c r="N39" s="1">
        <f t="shared" si="2"/>
        <v>0.18894009216589869</v>
      </c>
      <c r="O39" s="1" t="s">
        <v>167</v>
      </c>
      <c r="Q39" s="1">
        <v>30.8</v>
      </c>
      <c r="R39" s="1">
        <f t="shared" si="3"/>
        <v>0.40860215053763438</v>
      </c>
      <c r="S39" s="1" t="s">
        <v>168</v>
      </c>
    </row>
    <row r="40" spans="1:19" x14ac:dyDescent="0.2">
      <c r="A40" s="1" t="s">
        <v>170</v>
      </c>
      <c r="C40" s="1" t="s">
        <v>173</v>
      </c>
      <c r="D40" s="1">
        <v>190</v>
      </c>
      <c r="E40" s="1">
        <v>190</v>
      </c>
      <c r="F40" s="1">
        <v>190</v>
      </c>
      <c r="I40">
        <v>226.08</v>
      </c>
      <c r="J40" s="1">
        <f t="shared" si="1"/>
        <v>0.18989473684210534</v>
      </c>
      <c r="M40" s="1">
        <v>64.5</v>
      </c>
      <c r="N40" s="1">
        <f t="shared" si="2"/>
        <v>0.66052631578947374</v>
      </c>
      <c r="O40" s="1" t="s">
        <v>171</v>
      </c>
      <c r="Q40" s="1">
        <v>217.93</v>
      </c>
      <c r="R40" s="1">
        <f t="shared" si="3"/>
        <v>0.14700000000000005</v>
      </c>
      <c r="S40" s="1" t="s">
        <v>172</v>
      </c>
    </row>
    <row r="41" spans="1:19" x14ac:dyDescent="0.2">
      <c r="A41" s="1" t="s">
        <v>174</v>
      </c>
      <c r="C41" s="1" t="s">
        <v>177</v>
      </c>
      <c r="D41" s="1">
        <v>284</v>
      </c>
      <c r="E41" s="1">
        <v>284</v>
      </c>
      <c r="F41" s="1">
        <v>284</v>
      </c>
      <c r="I41">
        <v>298.08</v>
      </c>
      <c r="J41" s="1">
        <f t="shared" si="1"/>
        <v>4.9577464788732338E-2</v>
      </c>
      <c r="M41" s="1">
        <v>101.05</v>
      </c>
      <c r="N41" s="1">
        <f t="shared" si="2"/>
        <v>0.64419014084507042</v>
      </c>
      <c r="O41" s="1" t="s">
        <v>175</v>
      </c>
      <c r="Q41" s="1">
        <v>285.95</v>
      </c>
      <c r="R41" s="1">
        <f t="shared" si="3"/>
        <v>6.8661971830985512E-3</v>
      </c>
      <c r="S41" s="1" t="s">
        <v>176</v>
      </c>
    </row>
    <row r="42" spans="1:19" x14ac:dyDescent="0.2">
      <c r="A42" s="1" t="s">
        <v>178</v>
      </c>
      <c r="C42" s="1" t="s">
        <v>181</v>
      </c>
      <c r="D42" s="1">
        <v>142.4</v>
      </c>
      <c r="E42" s="1">
        <v>142.4</v>
      </c>
      <c r="F42" s="1">
        <v>142.4</v>
      </c>
      <c r="I42">
        <v>146.30000000000001</v>
      </c>
      <c r="J42" s="1">
        <f t="shared" si="1"/>
        <v>2.7387640449438241E-2</v>
      </c>
      <c r="M42" s="1">
        <v>219.6</v>
      </c>
      <c r="N42" s="1">
        <f t="shared" si="2"/>
        <v>0.54213483146067409</v>
      </c>
      <c r="O42" s="1" t="s">
        <v>179</v>
      </c>
      <c r="Q42" s="1">
        <v>215</v>
      </c>
      <c r="R42" s="1">
        <f t="shared" si="3"/>
        <v>0.50983146067415719</v>
      </c>
      <c r="S42" s="1" t="s">
        <v>180</v>
      </c>
    </row>
    <row r="43" spans="1:19" x14ac:dyDescent="0.2">
      <c r="A43" s="1" t="s">
        <v>182</v>
      </c>
      <c r="C43" s="1" t="s">
        <v>185</v>
      </c>
      <c r="D43" s="1">
        <v>116.8</v>
      </c>
      <c r="E43" s="1">
        <v>116.8</v>
      </c>
      <c r="F43" s="1">
        <v>116.8</v>
      </c>
      <c r="I43">
        <v>114</v>
      </c>
      <c r="J43" s="1">
        <f t="shared" si="1"/>
        <v>2.3972602739726005E-2</v>
      </c>
      <c r="M43" s="1">
        <v>145.91</v>
      </c>
      <c r="N43" s="1">
        <f t="shared" si="2"/>
        <v>0.24922945205479452</v>
      </c>
      <c r="O43" s="1" t="s">
        <v>183</v>
      </c>
      <c r="Q43" s="1">
        <v>172</v>
      </c>
      <c r="R43" s="1">
        <f t="shared" si="3"/>
        <v>0.47260273972602745</v>
      </c>
      <c r="S43" s="1" t="s">
        <v>184</v>
      </c>
    </row>
    <row r="44" spans="1:19" x14ac:dyDescent="0.2">
      <c r="A44" s="1" t="s">
        <v>186</v>
      </c>
      <c r="C44" s="1" t="s">
        <v>189</v>
      </c>
      <c r="D44" s="1">
        <v>177.45</v>
      </c>
      <c r="E44" s="1">
        <v>177.45</v>
      </c>
      <c r="F44" s="1">
        <v>177.45</v>
      </c>
      <c r="I44">
        <v>159</v>
      </c>
      <c r="J44" s="1">
        <f t="shared" si="1"/>
        <v>0.10397295012679622</v>
      </c>
      <c r="M44" s="1">
        <v>61.6</v>
      </c>
      <c r="N44" s="1">
        <f t="shared" si="2"/>
        <v>0.65285996055226825</v>
      </c>
      <c r="O44" s="1" t="s">
        <v>187</v>
      </c>
      <c r="Q44" s="1">
        <v>141.72999999999999</v>
      </c>
      <c r="R44" s="1">
        <f t="shared" si="3"/>
        <v>0.20129613975767824</v>
      </c>
      <c r="S44" s="1" t="s">
        <v>188</v>
      </c>
    </row>
    <row r="45" spans="1:19" x14ac:dyDescent="0.2">
      <c r="A45" s="1" t="s">
        <v>190</v>
      </c>
      <c r="C45" s="1" t="s">
        <v>193</v>
      </c>
      <c r="D45" s="1">
        <v>597.36</v>
      </c>
      <c r="E45" s="1">
        <v>597.36</v>
      </c>
      <c r="F45" s="1">
        <v>597.36</v>
      </c>
      <c r="I45">
        <v>597.36</v>
      </c>
      <c r="J45" s="1">
        <f t="shared" si="1"/>
        <v>0</v>
      </c>
      <c r="M45" s="1">
        <v>3415.51</v>
      </c>
      <c r="N45" s="1">
        <f t="shared" si="2"/>
        <v>4.717674434177046</v>
      </c>
      <c r="O45" s="1" t="s">
        <v>191</v>
      </c>
      <c r="Q45" s="1">
        <v>419.22</v>
      </c>
      <c r="R45" s="1">
        <f t="shared" si="3"/>
        <v>0.29821213338690233</v>
      </c>
      <c r="S45" s="1" t="s">
        <v>192</v>
      </c>
    </row>
    <row r="46" spans="1:19" x14ac:dyDescent="0.2">
      <c r="A46" s="1" t="s">
        <v>194</v>
      </c>
      <c r="C46" s="1" t="s">
        <v>197</v>
      </c>
      <c r="D46" s="1">
        <v>98.56</v>
      </c>
      <c r="E46" s="1">
        <v>98.56</v>
      </c>
      <c r="F46" s="1">
        <v>98.56</v>
      </c>
      <c r="I46">
        <v>102.2</v>
      </c>
      <c r="J46" s="1">
        <f t="shared" si="1"/>
        <v>3.6931818181818184E-2</v>
      </c>
      <c r="M46" s="1">
        <v>53.2</v>
      </c>
      <c r="N46" s="1">
        <f t="shared" si="2"/>
        <v>0.46022727272727271</v>
      </c>
      <c r="O46" s="1" t="s">
        <v>195</v>
      </c>
      <c r="Q46" s="1">
        <v>331</v>
      </c>
      <c r="R46" s="1">
        <f t="shared" si="3"/>
        <v>2.3583603896103895</v>
      </c>
      <c r="S46" s="1" t="s">
        <v>196</v>
      </c>
    </row>
    <row r="47" spans="1:19" x14ac:dyDescent="0.2">
      <c r="A47" s="1" t="s">
        <v>198</v>
      </c>
      <c r="C47" s="1" t="s">
        <v>201</v>
      </c>
      <c r="D47" s="1">
        <v>30.94</v>
      </c>
      <c r="E47" s="1">
        <v>30.94</v>
      </c>
      <c r="F47" s="1">
        <v>30.94</v>
      </c>
      <c r="I47">
        <v>31</v>
      </c>
      <c r="J47" s="1">
        <f t="shared" si="1"/>
        <v>1.939237233354839E-3</v>
      </c>
      <c r="M47" s="1">
        <v>9.8000000000000007</v>
      </c>
      <c r="N47" s="1">
        <f t="shared" si="2"/>
        <v>0.68325791855203621</v>
      </c>
      <c r="O47" s="1" t="s">
        <v>199</v>
      </c>
      <c r="Q47" s="1">
        <v>75</v>
      </c>
      <c r="R47" s="1">
        <f t="shared" si="3"/>
        <v>1.4240465416936006</v>
      </c>
      <c r="S47" s="1" t="s">
        <v>200</v>
      </c>
    </row>
    <row r="48" spans="1:19" x14ac:dyDescent="0.2">
      <c r="A48" s="1" t="s">
        <v>202</v>
      </c>
      <c r="C48" s="1" t="s">
        <v>205</v>
      </c>
      <c r="D48" s="1">
        <v>494</v>
      </c>
      <c r="E48" s="1">
        <v>494</v>
      </c>
      <c r="F48" s="1">
        <v>494</v>
      </c>
      <c r="I48">
        <v>510</v>
      </c>
      <c r="J48" s="1">
        <f t="shared" si="1"/>
        <v>3.2388663967611336E-2</v>
      </c>
      <c r="M48" s="1">
        <v>236.5</v>
      </c>
      <c r="N48" s="1">
        <f t="shared" si="2"/>
        <v>0.52125506072874495</v>
      </c>
      <c r="O48" s="1" t="s">
        <v>203</v>
      </c>
      <c r="Q48" s="1">
        <v>892.8</v>
      </c>
      <c r="R48" s="1">
        <f t="shared" si="3"/>
        <v>0.80728744939271246</v>
      </c>
      <c r="S48" s="1" t="s">
        <v>204</v>
      </c>
    </row>
    <row r="49" spans="1:19" x14ac:dyDescent="0.2">
      <c r="A49" s="1" t="s">
        <v>206</v>
      </c>
      <c r="C49" s="1" t="s">
        <v>209</v>
      </c>
      <c r="D49" s="1">
        <v>46.2</v>
      </c>
      <c r="E49" s="1">
        <v>46.2</v>
      </c>
      <c r="F49" s="1">
        <v>46.2</v>
      </c>
      <c r="I49">
        <v>48.75</v>
      </c>
      <c r="J49" s="1">
        <f t="shared" si="1"/>
        <v>5.519480519480513E-2</v>
      </c>
      <c r="M49" s="1">
        <v>24.54</v>
      </c>
      <c r="N49" s="1">
        <f t="shared" si="2"/>
        <v>0.46883116883116888</v>
      </c>
      <c r="O49" s="1" t="s">
        <v>207</v>
      </c>
      <c r="Q49" s="1">
        <v>78</v>
      </c>
      <c r="R49" s="1">
        <f t="shared" si="3"/>
        <v>0.68831168831168821</v>
      </c>
      <c r="S49" s="1" t="s">
        <v>208</v>
      </c>
    </row>
    <row r="50" spans="1:19" x14ac:dyDescent="0.2">
      <c r="A50" s="1" t="s">
        <v>210</v>
      </c>
      <c r="C50" s="1" t="s">
        <v>213</v>
      </c>
      <c r="D50" s="1">
        <v>98.34</v>
      </c>
      <c r="E50" s="1">
        <v>98.34</v>
      </c>
      <c r="F50" s="1">
        <v>98.34</v>
      </c>
      <c r="I50">
        <v>425.1</v>
      </c>
      <c r="J50" s="1">
        <f t="shared" si="1"/>
        <v>3.3227577791336178</v>
      </c>
      <c r="M50" s="1">
        <v>316.70999999999998</v>
      </c>
      <c r="N50" s="1">
        <f t="shared" si="2"/>
        <v>2.2205613178767538</v>
      </c>
      <c r="O50" s="1" t="s">
        <v>211</v>
      </c>
      <c r="Q50" s="1">
        <v>274.8</v>
      </c>
      <c r="R50" s="1">
        <f t="shared" si="3"/>
        <v>1.7943868212324587</v>
      </c>
      <c r="S50" s="1" t="s">
        <v>212</v>
      </c>
    </row>
    <row r="51" spans="1:19" x14ac:dyDescent="0.2">
      <c r="A51" s="1" t="s">
        <v>214</v>
      </c>
      <c r="C51" s="1" t="s">
        <v>217</v>
      </c>
      <c r="D51" s="1">
        <v>143.52000000000001</v>
      </c>
      <c r="E51" s="1">
        <v>143.52000000000001</v>
      </c>
      <c r="F51" s="1">
        <v>143.52000000000001</v>
      </c>
      <c r="I51">
        <v>220.8</v>
      </c>
      <c r="J51" s="1">
        <f t="shared" si="1"/>
        <v>0.53846153846153844</v>
      </c>
      <c r="M51" s="1">
        <v>223.89</v>
      </c>
      <c r="N51" s="1">
        <f t="shared" si="2"/>
        <v>0.55999163879598646</v>
      </c>
      <c r="O51" s="1" t="s">
        <v>215</v>
      </c>
      <c r="Q51" s="1">
        <v>150.69999999999999</v>
      </c>
      <c r="R51" s="1">
        <f t="shared" si="3"/>
        <v>5.0027870680044439E-2</v>
      </c>
      <c r="S51" s="1" t="s">
        <v>216</v>
      </c>
    </row>
    <row r="52" spans="1:19" x14ac:dyDescent="0.2">
      <c r="A52" s="1" t="s">
        <v>218</v>
      </c>
      <c r="C52" s="1" t="s">
        <v>221</v>
      </c>
      <c r="D52" s="1">
        <v>9.8800000000000008</v>
      </c>
      <c r="E52" s="1">
        <v>9.8800000000000008</v>
      </c>
      <c r="F52" s="1">
        <v>9.8800000000000008</v>
      </c>
      <c r="I52">
        <v>10.01</v>
      </c>
      <c r="J52" s="1">
        <f t="shared" si="1"/>
        <v>1.3157894736842004E-2</v>
      </c>
      <c r="M52" s="1">
        <v>53.54</v>
      </c>
      <c r="N52" s="1">
        <f t="shared" si="2"/>
        <v>4.4190283400809713</v>
      </c>
      <c r="O52" s="1" t="s">
        <v>219</v>
      </c>
      <c r="Q52" s="1">
        <v>1.37</v>
      </c>
      <c r="R52" s="1">
        <f t="shared" si="3"/>
        <v>0.86133603238866407</v>
      </c>
      <c r="S52" s="1" t="s">
        <v>220</v>
      </c>
    </row>
    <row r="53" spans="1:19" x14ac:dyDescent="0.2">
      <c r="A53" s="1" t="s">
        <v>222</v>
      </c>
      <c r="C53" s="1" t="s">
        <v>225</v>
      </c>
      <c r="D53" s="1">
        <v>241</v>
      </c>
      <c r="E53" s="1">
        <v>241</v>
      </c>
      <c r="F53" s="1">
        <v>241</v>
      </c>
      <c r="I53">
        <v>265.44</v>
      </c>
      <c r="J53" s="1">
        <f t="shared" si="1"/>
        <v>0.10141078838174272</v>
      </c>
      <c r="M53" s="1">
        <v>96.75</v>
      </c>
      <c r="N53" s="1">
        <f t="shared" si="2"/>
        <v>0.59854771784232363</v>
      </c>
      <c r="O53" s="1" t="s">
        <v>223</v>
      </c>
      <c r="Q53" s="1">
        <v>143.84</v>
      </c>
      <c r="R53" s="1">
        <f t="shared" si="3"/>
        <v>0.40315352697095436</v>
      </c>
      <c r="S53" s="1" t="s">
        <v>224</v>
      </c>
    </row>
    <row r="54" spans="1:19" x14ac:dyDescent="0.2">
      <c r="A54" s="1" t="s">
        <v>226</v>
      </c>
      <c r="C54" s="1" t="s">
        <v>229</v>
      </c>
      <c r="D54" s="1">
        <v>1464.932</v>
      </c>
      <c r="E54" s="1">
        <v>1464.932</v>
      </c>
      <c r="F54" s="1">
        <v>1464.932</v>
      </c>
      <c r="I54">
        <v>1464.93</v>
      </c>
      <c r="J54" s="1">
        <f t="shared" si="1"/>
        <v>1.3652510832944507E-6</v>
      </c>
      <c r="M54" s="1">
        <v>465</v>
      </c>
      <c r="N54" s="1">
        <f t="shared" si="2"/>
        <v>0.68257912312653424</v>
      </c>
      <c r="O54" s="1" t="s">
        <v>227</v>
      </c>
      <c r="Q54" s="1">
        <v>848</v>
      </c>
      <c r="R54" s="1">
        <f t="shared" si="3"/>
        <v>0.42113354066946451</v>
      </c>
      <c r="S54" s="1" t="s">
        <v>228</v>
      </c>
    </row>
    <row r="55" spans="1:19" x14ac:dyDescent="0.2">
      <c r="A55" s="1" t="s">
        <v>230</v>
      </c>
      <c r="C55" s="1" t="s">
        <v>233</v>
      </c>
      <c r="D55" s="1">
        <v>382</v>
      </c>
      <c r="E55" s="1">
        <v>382</v>
      </c>
      <c r="F55" s="1">
        <v>382</v>
      </c>
      <c r="I55">
        <v>418</v>
      </c>
      <c r="J55" s="1">
        <f t="shared" si="1"/>
        <v>9.4240837696335081E-2</v>
      </c>
      <c r="M55" s="1">
        <v>172</v>
      </c>
      <c r="N55" s="1">
        <f t="shared" si="2"/>
        <v>0.54973821989528793</v>
      </c>
      <c r="O55" s="1" t="s">
        <v>231</v>
      </c>
      <c r="Q55" s="1">
        <v>638.29</v>
      </c>
      <c r="R55" s="1">
        <f t="shared" si="3"/>
        <v>0.67091623036649206</v>
      </c>
      <c r="S55" s="1" t="s">
        <v>232</v>
      </c>
    </row>
    <row r="56" spans="1:19" x14ac:dyDescent="0.2">
      <c r="A56" s="1" t="s">
        <v>234</v>
      </c>
      <c r="C56" s="1" t="s">
        <v>237</v>
      </c>
      <c r="D56" s="1">
        <v>63.64</v>
      </c>
      <c r="E56" s="1">
        <v>63.64</v>
      </c>
      <c r="F56" s="1">
        <v>63.64</v>
      </c>
      <c r="I56">
        <v>68.98</v>
      </c>
      <c r="J56" s="1">
        <f t="shared" si="1"/>
        <v>8.390949088623513E-2</v>
      </c>
      <c r="M56" s="1">
        <v>316.70999999999998</v>
      </c>
      <c r="N56" s="1">
        <f t="shared" si="2"/>
        <v>3.9765870521684472</v>
      </c>
      <c r="O56" s="1" t="s">
        <v>235</v>
      </c>
      <c r="Q56" s="1">
        <v>79.430000000000007</v>
      </c>
      <c r="R56" s="1">
        <f t="shared" si="3"/>
        <v>0.24811439346323078</v>
      </c>
      <c r="S56" s="1" t="s">
        <v>236</v>
      </c>
    </row>
    <row r="57" spans="1:19" x14ac:dyDescent="0.2">
      <c r="A57" s="1" t="s">
        <v>238</v>
      </c>
      <c r="C57" s="1" t="s">
        <v>241</v>
      </c>
      <c r="D57" s="1">
        <v>295</v>
      </c>
      <c r="E57" s="1">
        <v>295</v>
      </c>
      <c r="F57" s="1">
        <v>295</v>
      </c>
      <c r="I57">
        <v>478.95</v>
      </c>
      <c r="J57" s="1">
        <f t="shared" si="1"/>
        <v>0.6235593220338983</v>
      </c>
      <c r="M57" s="1">
        <v>126.85</v>
      </c>
      <c r="N57" s="1">
        <f t="shared" si="2"/>
        <v>0.57000000000000006</v>
      </c>
      <c r="O57" s="1" t="s">
        <v>239</v>
      </c>
      <c r="Q57" s="1">
        <v>302</v>
      </c>
      <c r="R57" s="1">
        <f t="shared" si="3"/>
        <v>2.3728813559322035E-2</v>
      </c>
      <c r="S57" s="1" t="s">
        <v>240</v>
      </c>
    </row>
    <row r="58" spans="1:19" x14ac:dyDescent="0.2">
      <c r="A58" s="1" t="s">
        <v>242</v>
      </c>
      <c r="C58" s="1" t="s">
        <v>245</v>
      </c>
      <c r="D58" s="1">
        <v>173</v>
      </c>
      <c r="E58" s="1">
        <v>173</v>
      </c>
      <c r="F58" s="1">
        <v>173</v>
      </c>
      <c r="I58">
        <v>173</v>
      </c>
      <c r="J58" s="1">
        <f t="shared" si="1"/>
        <v>0</v>
      </c>
      <c r="M58" s="1">
        <v>633.91</v>
      </c>
      <c r="N58" s="1">
        <f t="shared" si="2"/>
        <v>2.6642196531791904</v>
      </c>
      <c r="O58" s="1" t="s">
        <v>243</v>
      </c>
      <c r="Q58" s="1">
        <v>800</v>
      </c>
      <c r="R58" s="1">
        <f t="shared" si="3"/>
        <v>3.6242774566473988</v>
      </c>
      <c r="S58" s="1" t="s">
        <v>244</v>
      </c>
    </row>
    <row r="59" spans="1:19" x14ac:dyDescent="0.2">
      <c r="A59" s="1" t="s">
        <v>246</v>
      </c>
      <c r="C59" s="1" t="s">
        <v>249</v>
      </c>
      <c r="D59" s="1">
        <v>496.74</v>
      </c>
      <c r="E59" s="1">
        <v>496.74</v>
      </c>
      <c r="F59" s="1">
        <v>496.74</v>
      </c>
      <c r="I59">
        <v>974</v>
      </c>
      <c r="J59" s="1">
        <f t="shared" si="1"/>
        <v>0.96078431372549011</v>
      </c>
      <c r="M59" s="1">
        <v>1175.6099999999999</v>
      </c>
      <c r="N59" s="1">
        <f t="shared" si="2"/>
        <v>1.3666505616620361</v>
      </c>
      <c r="O59" s="1" t="s">
        <v>247</v>
      </c>
      <c r="Q59" s="1">
        <v>779.25</v>
      </c>
      <c r="R59" s="1">
        <f t="shared" si="3"/>
        <v>0.56872810725933076</v>
      </c>
      <c r="S59" s="1" t="s">
        <v>248</v>
      </c>
    </row>
    <row r="60" spans="1:19" x14ac:dyDescent="0.2">
      <c r="A60" s="1" t="s">
        <v>250</v>
      </c>
      <c r="C60" s="1" t="s">
        <v>253</v>
      </c>
      <c r="D60" s="1">
        <v>40.216000000000001</v>
      </c>
      <c r="E60" s="1">
        <v>40.216000000000001</v>
      </c>
      <c r="F60" s="1">
        <v>40.216000000000001</v>
      </c>
      <c r="I60">
        <v>40.22</v>
      </c>
      <c r="J60" s="1">
        <f t="shared" si="1"/>
        <v>9.9462900338118733E-5</v>
      </c>
      <c r="M60" s="1">
        <v>76.8</v>
      </c>
      <c r="N60" s="1">
        <f t="shared" si="2"/>
        <v>0.90968768649293796</v>
      </c>
      <c r="O60" s="1" t="s">
        <v>251</v>
      </c>
      <c r="Q60" s="1">
        <v>80.75</v>
      </c>
      <c r="R60" s="1">
        <f t="shared" si="3"/>
        <v>1.0079073005768848</v>
      </c>
      <c r="S60" s="1" t="s">
        <v>252</v>
      </c>
    </row>
    <row r="61" spans="1:19" x14ac:dyDescent="0.2">
      <c r="A61" s="1" t="s">
        <v>254</v>
      </c>
      <c r="C61" s="1" t="s">
        <v>257</v>
      </c>
      <c r="D61" s="1">
        <v>161.32</v>
      </c>
      <c r="E61" s="1">
        <v>161.32</v>
      </c>
      <c r="F61" s="1">
        <v>161.32</v>
      </c>
      <c r="I61">
        <v>161.32</v>
      </c>
      <c r="J61" s="1">
        <f t="shared" si="1"/>
        <v>0</v>
      </c>
      <c r="M61" s="1">
        <v>223.89</v>
      </c>
      <c r="N61" s="1">
        <f t="shared" si="2"/>
        <v>0.38786263327547726</v>
      </c>
      <c r="O61" s="1" t="s">
        <v>255</v>
      </c>
      <c r="Q61" s="1">
        <v>156</v>
      </c>
      <c r="R61" s="1">
        <f t="shared" si="3"/>
        <v>3.2977932060500828E-2</v>
      </c>
      <c r="S61" s="1" t="s">
        <v>256</v>
      </c>
    </row>
    <row r="62" spans="1:19" x14ac:dyDescent="0.2">
      <c r="A62" s="1" t="s">
        <v>258</v>
      </c>
      <c r="C62" s="1" t="s">
        <v>261</v>
      </c>
      <c r="D62" s="1">
        <v>46.97</v>
      </c>
      <c r="E62" s="1">
        <v>46.97</v>
      </c>
      <c r="F62" s="1">
        <v>46.97</v>
      </c>
      <c r="I62">
        <v>85.05</v>
      </c>
      <c r="J62" s="1">
        <f t="shared" si="1"/>
        <v>0.81073025335320414</v>
      </c>
      <c r="M62" s="1">
        <v>182.71</v>
      </c>
      <c r="N62" s="1">
        <f t="shared" si="2"/>
        <v>2.8899297423887589</v>
      </c>
      <c r="O62" s="1" t="s">
        <v>259</v>
      </c>
      <c r="Q62" s="1">
        <v>85</v>
      </c>
      <c r="R62" s="1">
        <f t="shared" si="3"/>
        <v>0.80966574409197367</v>
      </c>
      <c r="S62" s="1" t="s">
        <v>260</v>
      </c>
    </row>
    <row r="63" spans="1:19" x14ac:dyDescent="0.2">
      <c r="A63" s="1" t="s">
        <v>262</v>
      </c>
      <c r="C63" s="1" t="s">
        <v>265</v>
      </c>
      <c r="D63" s="1">
        <v>110.05</v>
      </c>
      <c r="E63" s="1">
        <v>110.05</v>
      </c>
      <c r="F63" s="1">
        <v>110.05</v>
      </c>
      <c r="I63">
        <v>110.05</v>
      </c>
      <c r="J63" s="1">
        <f t="shared" si="1"/>
        <v>0</v>
      </c>
      <c r="M63" s="1">
        <v>156.69</v>
      </c>
      <c r="N63" s="1">
        <f t="shared" si="2"/>
        <v>0.42380736029077692</v>
      </c>
      <c r="O63" s="1" t="s">
        <v>263</v>
      </c>
      <c r="Q63" s="1">
        <v>172</v>
      </c>
      <c r="R63" s="1">
        <f t="shared" si="3"/>
        <v>0.562925942753294</v>
      </c>
      <c r="S63" s="1" t="s">
        <v>264</v>
      </c>
    </row>
    <row r="64" spans="1:19" x14ac:dyDescent="0.2">
      <c r="A64" s="1" t="s">
        <v>266</v>
      </c>
      <c r="C64" s="1" t="s">
        <v>269</v>
      </c>
      <c r="D64" s="1">
        <v>13.2</v>
      </c>
      <c r="E64" s="1">
        <v>13.2</v>
      </c>
      <c r="F64" s="1">
        <v>13.2</v>
      </c>
      <c r="I64">
        <v>13.2</v>
      </c>
      <c r="J64" s="1">
        <f t="shared" si="1"/>
        <v>0</v>
      </c>
      <c r="M64" s="1">
        <v>63.27</v>
      </c>
      <c r="N64" s="1">
        <f t="shared" si="2"/>
        <v>3.7931818181818189</v>
      </c>
      <c r="O64" s="1" t="s">
        <v>267</v>
      </c>
      <c r="Q64" s="1">
        <v>23.63</v>
      </c>
      <c r="R64" s="1">
        <f t="shared" si="3"/>
        <v>0.79015151515151516</v>
      </c>
      <c r="S64" s="1" t="s">
        <v>268</v>
      </c>
    </row>
    <row r="65" spans="1:19" x14ac:dyDescent="0.2">
      <c r="A65" s="1" t="s">
        <v>270</v>
      </c>
      <c r="C65" s="1" t="s">
        <v>273</v>
      </c>
      <c r="D65" s="1">
        <v>42.9</v>
      </c>
      <c r="E65" s="1">
        <v>42.9</v>
      </c>
      <c r="F65" s="1">
        <v>42.9</v>
      </c>
      <c r="I65">
        <v>51.15</v>
      </c>
      <c r="J65" s="1">
        <f t="shared" si="1"/>
        <v>0.19230769230769232</v>
      </c>
      <c r="M65" s="1">
        <v>133.87</v>
      </c>
      <c r="N65" s="1">
        <f t="shared" si="2"/>
        <v>2.1205128205128205</v>
      </c>
      <c r="O65" s="1" t="s">
        <v>271</v>
      </c>
      <c r="Q65" s="1">
        <v>71</v>
      </c>
      <c r="R65" s="1">
        <f t="shared" si="3"/>
        <v>0.65501165501165504</v>
      </c>
      <c r="S65" s="1" t="s">
        <v>272</v>
      </c>
    </row>
    <row r="66" spans="1:19" x14ac:dyDescent="0.2">
      <c r="A66" s="1" t="s">
        <v>274</v>
      </c>
      <c r="C66" s="1" t="s">
        <v>277</v>
      </c>
      <c r="D66" s="1">
        <v>40.6</v>
      </c>
      <c r="E66" s="1">
        <v>40.6</v>
      </c>
      <c r="F66" s="1">
        <v>40.6</v>
      </c>
      <c r="I66">
        <v>40.6</v>
      </c>
      <c r="J66" s="1">
        <f t="shared" si="1"/>
        <v>0</v>
      </c>
      <c r="M66" s="1">
        <v>27.28</v>
      </c>
      <c r="N66" s="1">
        <f t="shared" si="2"/>
        <v>0.32807881773399017</v>
      </c>
      <c r="O66" s="1" t="s">
        <v>275</v>
      </c>
      <c r="Q66" s="1">
        <v>30.6</v>
      </c>
      <c r="R66" s="1">
        <f t="shared" si="3"/>
        <v>0.24630541871921183</v>
      </c>
      <c r="S66" s="1" t="s">
        <v>276</v>
      </c>
    </row>
    <row r="67" spans="1:19" x14ac:dyDescent="0.2">
      <c r="A67" s="1" t="s">
        <v>278</v>
      </c>
      <c r="C67" s="1" t="s">
        <v>281</v>
      </c>
      <c r="D67" s="1">
        <v>39.087899999999998</v>
      </c>
      <c r="E67" s="1">
        <v>39.087899999999998</v>
      </c>
      <c r="F67" s="1">
        <v>39.087899999999998</v>
      </c>
      <c r="I67">
        <v>39.090000000000003</v>
      </c>
      <c r="J67" s="1">
        <f t="shared" ref="J67:J78" si="4">ABS((I67-F67)/F67)</f>
        <v>5.3725065813353084E-5</v>
      </c>
      <c r="M67" s="1">
        <v>912.88</v>
      </c>
      <c r="N67" s="1">
        <f t="shared" ref="N67:N78" si="5">ABS((M67-F67)/F67)</f>
        <v>22.354541942647213</v>
      </c>
      <c r="O67" s="1" t="s">
        <v>279</v>
      </c>
      <c r="Q67" s="1">
        <v>70</v>
      </c>
      <c r="R67" s="1">
        <f t="shared" ref="R67:R78" si="6">ABS((Q67-F67)/F67)</f>
        <v>0.79083552710685412</v>
      </c>
      <c r="S67" s="1" t="s">
        <v>280</v>
      </c>
    </row>
    <row r="68" spans="1:19" x14ac:dyDescent="0.2">
      <c r="A68" s="1" t="s">
        <v>282</v>
      </c>
      <c r="C68" s="1" t="s">
        <v>285</v>
      </c>
      <c r="D68" s="1">
        <v>75.05</v>
      </c>
      <c r="E68" s="1">
        <v>75.05</v>
      </c>
      <c r="F68" s="1">
        <v>75.05</v>
      </c>
      <c r="I68">
        <v>75.05</v>
      </c>
      <c r="J68" s="1">
        <f t="shared" si="4"/>
        <v>0</v>
      </c>
      <c r="M68" s="1">
        <v>155.04</v>
      </c>
      <c r="N68" s="1">
        <f t="shared" si="5"/>
        <v>1.0658227848101265</v>
      </c>
      <c r="O68" s="1" t="s">
        <v>283</v>
      </c>
      <c r="Q68" s="1">
        <v>35.1</v>
      </c>
      <c r="R68" s="1">
        <f t="shared" si="6"/>
        <v>0.53231179213857427</v>
      </c>
      <c r="S68" s="1" t="s">
        <v>284</v>
      </c>
    </row>
    <row r="69" spans="1:19" x14ac:dyDescent="0.2">
      <c r="A69" s="1" t="s">
        <v>286</v>
      </c>
      <c r="C69" s="1" t="s">
        <v>289</v>
      </c>
      <c r="D69" s="1">
        <v>161.048</v>
      </c>
      <c r="E69" s="1">
        <v>161.048</v>
      </c>
      <c r="F69" s="1">
        <v>161.048</v>
      </c>
      <c r="I69">
        <v>161.05000000000001</v>
      </c>
      <c r="J69" s="1">
        <f t="shared" si="4"/>
        <v>1.2418657791525195E-5</v>
      </c>
      <c r="M69" s="1">
        <v>322.49</v>
      </c>
      <c r="N69" s="1">
        <f t="shared" si="5"/>
        <v>1.0024464755849187</v>
      </c>
      <c r="O69" s="1" t="s">
        <v>287</v>
      </c>
      <c r="Q69" s="1">
        <v>356</v>
      </c>
      <c r="R69" s="1">
        <f t="shared" si="6"/>
        <v>1.21052108688093</v>
      </c>
      <c r="S69" s="1" t="s">
        <v>288</v>
      </c>
    </row>
    <row r="70" spans="1:19" x14ac:dyDescent="0.2">
      <c r="A70" s="1" t="s">
        <v>290</v>
      </c>
      <c r="C70" s="1" t="s">
        <v>293</v>
      </c>
      <c r="D70" s="1">
        <v>71.25</v>
      </c>
      <c r="E70" s="1">
        <v>71.25</v>
      </c>
      <c r="F70" s="1">
        <v>71.25</v>
      </c>
      <c r="I70">
        <v>48.36</v>
      </c>
      <c r="J70" s="1">
        <f t="shared" si="4"/>
        <v>0.32126315789473686</v>
      </c>
      <c r="M70" s="1">
        <v>108.7</v>
      </c>
      <c r="N70" s="1">
        <f t="shared" si="5"/>
        <v>0.52561403508771931</v>
      </c>
      <c r="O70" s="1" t="s">
        <v>291</v>
      </c>
      <c r="Q70" s="1">
        <v>41.01</v>
      </c>
      <c r="R70" s="1">
        <f t="shared" si="6"/>
        <v>0.42442105263157898</v>
      </c>
      <c r="S70" s="1" t="s">
        <v>292</v>
      </c>
    </row>
    <row r="71" spans="1:19" x14ac:dyDescent="0.2">
      <c r="A71" s="1" t="s">
        <v>294</v>
      </c>
      <c r="C71" s="1" t="s">
        <v>297</v>
      </c>
      <c r="D71" s="1">
        <v>5.4</v>
      </c>
      <c r="E71" s="1">
        <v>5.4</v>
      </c>
      <c r="F71" s="1">
        <v>5.4</v>
      </c>
      <c r="I71">
        <v>5.4</v>
      </c>
      <c r="J71" s="1">
        <f t="shared" si="4"/>
        <v>0</v>
      </c>
      <c r="M71" s="1">
        <v>7.44</v>
      </c>
      <c r="N71" s="1">
        <f t="shared" si="5"/>
        <v>0.37777777777777777</v>
      </c>
      <c r="O71" s="1" t="s">
        <v>295</v>
      </c>
      <c r="Q71" s="1">
        <v>6.88</v>
      </c>
      <c r="R71" s="1">
        <f t="shared" si="6"/>
        <v>0.27407407407407397</v>
      </c>
      <c r="S71" s="1" t="s">
        <v>296</v>
      </c>
    </row>
    <row r="72" spans="1:19" x14ac:dyDescent="0.2">
      <c r="A72" s="1" t="s">
        <v>298</v>
      </c>
      <c r="C72" s="1" t="s">
        <v>301</v>
      </c>
      <c r="D72" s="1">
        <v>33.630000000000003</v>
      </c>
      <c r="E72" s="1">
        <v>33.630000000000003</v>
      </c>
      <c r="F72" s="1">
        <v>33.630000000000003</v>
      </c>
      <c r="I72">
        <v>39.200000000000003</v>
      </c>
      <c r="J72" s="1">
        <f t="shared" si="4"/>
        <v>0.16562592922985428</v>
      </c>
      <c r="M72" s="1">
        <v>46.8</v>
      </c>
      <c r="N72" s="1">
        <f t="shared" si="5"/>
        <v>0.39161462979482586</v>
      </c>
      <c r="O72" s="1" t="s">
        <v>299</v>
      </c>
      <c r="Q72" s="1">
        <v>26.08</v>
      </c>
      <c r="R72" s="1">
        <f t="shared" si="6"/>
        <v>0.22450193279809705</v>
      </c>
      <c r="S72" s="1" t="s">
        <v>300</v>
      </c>
    </row>
    <row r="73" spans="1:19" x14ac:dyDescent="0.2">
      <c r="A73" s="1" t="s">
        <v>302</v>
      </c>
      <c r="C73" s="1" t="s">
        <v>305</v>
      </c>
      <c r="D73" s="1">
        <v>92.5</v>
      </c>
      <c r="E73" s="1">
        <v>92.5</v>
      </c>
      <c r="F73" s="1">
        <v>92.5</v>
      </c>
      <c r="I73">
        <v>92.5</v>
      </c>
      <c r="J73" s="1">
        <f t="shared" si="4"/>
        <v>0</v>
      </c>
      <c r="M73" s="1">
        <v>292.8</v>
      </c>
      <c r="N73" s="1">
        <f t="shared" si="5"/>
        <v>2.1654054054054055</v>
      </c>
      <c r="O73" s="1" t="s">
        <v>303</v>
      </c>
      <c r="Q73" s="1">
        <v>90.3</v>
      </c>
      <c r="R73" s="1">
        <f t="shared" si="6"/>
        <v>2.3783783783783815E-2</v>
      </c>
      <c r="S73" s="1" t="s">
        <v>304</v>
      </c>
    </row>
    <row r="74" spans="1:19" x14ac:dyDescent="0.2">
      <c r="A74" s="1" t="s">
        <v>306</v>
      </c>
      <c r="C74" s="1" t="s">
        <v>309</v>
      </c>
      <c r="D74" s="1">
        <v>4.3739999999999997</v>
      </c>
      <c r="E74" s="1">
        <v>4.3739999999999997</v>
      </c>
      <c r="F74" s="1">
        <v>4.3739999999999997</v>
      </c>
      <c r="I74">
        <v>6.2850000000000001</v>
      </c>
      <c r="J74" s="1">
        <f t="shared" si="4"/>
        <v>0.43689986282578891</v>
      </c>
      <c r="M74" s="1">
        <v>180.34</v>
      </c>
      <c r="N74" s="1">
        <f t="shared" si="5"/>
        <v>40.229995427526298</v>
      </c>
      <c r="O74" s="1" t="s">
        <v>307</v>
      </c>
      <c r="Q74" s="1">
        <v>45.14</v>
      </c>
      <c r="R74" s="1">
        <f t="shared" si="6"/>
        <v>9.3200731595793336</v>
      </c>
      <c r="S74" s="1" t="s">
        <v>308</v>
      </c>
    </row>
    <row r="75" spans="1:19" x14ac:dyDescent="0.2">
      <c r="A75" s="1" t="s">
        <v>310</v>
      </c>
      <c r="C75" s="1" t="s">
        <v>313</v>
      </c>
      <c r="D75" s="1">
        <v>4.3739999999999997</v>
      </c>
      <c r="E75" s="1">
        <v>4.3739999999999997</v>
      </c>
      <c r="F75" s="1">
        <v>4.3739999999999997</v>
      </c>
      <c r="I75">
        <v>5.91</v>
      </c>
      <c r="J75" s="1">
        <f t="shared" si="4"/>
        <v>0.35116598079561057</v>
      </c>
      <c r="M75" s="1">
        <v>77.010000000000005</v>
      </c>
      <c r="N75" s="1">
        <f t="shared" si="5"/>
        <v>16.606310013717426</v>
      </c>
      <c r="O75" s="1" t="s">
        <v>311</v>
      </c>
      <c r="Q75" s="1">
        <v>1.03</v>
      </c>
      <c r="R75" s="1">
        <f t="shared" si="6"/>
        <v>0.76451760402377678</v>
      </c>
      <c r="S75" s="1" t="s">
        <v>312</v>
      </c>
    </row>
    <row r="76" spans="1:19" x14ac:dyDescent="0.2">
      <c r="A76" s="1" t="s">
        <v>314</v>
      </c>
      <c r="C76" s="1" t="s">
        <v>317</v>
      </c>
      <c r="D76" s="1">
        <v>26.66</v>
      </c>
      <c r="E76" s="1">
        <v>26.66</v>
      </c>
      <c r="F76" s="1">
        <v>26.66</v>
      </c>
      <c r="I76">
        <v>26.66</v>
      </c>
      <c r="J76" s="1">
        <f t="shared" si="4"/>
        <v>0</v>
      </c>
      <c r="M76" s="1">
        <v>27.74</v>
      </c>
      <c r="N76" s="1">
        <f t="shared" si="5"/>
        <v>4.0510127531882906E-2</v>
      </c>
      <c r="O76" s="1" t="s">
        <v>315</v>
      </c>
      <c r="Q76" s="1">
        <v>60</v>
      </c>
      <c r="R76" s="1">
        <f t="shared" si="6"/>
        <v>1.2505626406601651</v>
      </c>
      <c r="S76" s="1" t="s">
        <v>316</v>
      </c>
    </row>
    <row r="77" spans="1:19" x14ac:dyDescent="0.2">
      <c r="A77" s="1" t="s">
        <v>318</v>
      </c>
      <c r="C77" s="1" t="s">
        <v>321</v>
      </c>
      <c r="D77" s="1">
        <v>65.86</v>
      </c>
      <c r="E77" s="1">
        <v>65.86</v>
      </c>
      <c r="F77" s="1">
        <v>65.86</v>
      </c>
      <c r="I77">
        <v>68.53</v>
      </c>
      <c r="J77" s="1">
        <f t="shared" si="4"/>
        <v>4.0540540540540564E-2</v>
      </c>
      <c r="M77" s="1">
        <v>225.32</v>
      </c>
      <c r="N77" s="1">
        <f t="shared" si="5"/>
        <v>2.4211964773762524</v>
      </c>
      <c r="O77" s="1" t="s">
        <v>319</v>
      </c>
      <c r="Q77" s="1">
        <v>150</v>
      </c>
      <c r="R77" s="1">
        <f t="shared" si="6"/>
        <v>1.2775584573337382</v>
      </c>
      <c r="S77" s="1" t="s">
        <v>320</v>
      </c>
    </row>
    <row r="78" spans="1:19" x14ac:dyDescent="0.2">
      <c r="A78" s="1" t="s">
        <v>322</v>
      </c>
      <c r="C78" s="1" t="s">
        <v>325</v>
      </c>
      <c r="D78" s="1">
        <v>71.040000000000006</v>
      </c>
      <c r="E78" s="1">
        <v>71.040000000000006</v>
      </c>
      <c r="F78" s="1">
        <v>71.040000000000006</v>
      </c>
      <c r="I78">
        <v>76.239999999999995</v>
      </c>
      <c r="J78" s="1">
        <f t="shared" si="4"/>
        <v>7.3198198198198033E-2</v>
      </c>
      <c r="M78" s="1">
        <v>353.31</v>
      </c>
      <c r="N78" s="1">
        <f t="shared" si="5"/>
        <v>3.9733952702702697</v>
      </c>
      <c r="O78" s="1" t="s">
        <v>323</v>
      </c>
      <c r="Q78" s="1">
        <v>304.8</v>
      </c>
      <c r="R78" s="1">
        <f t="shared" si="6"/>
        <v>3.2905405405405399</v>
      </c>
      <c r="S78" s="1" t="s">
        <v>324</v>
      </c>
    </row>
    <row r="81" spans="10:18" x14ac:dyDescent="0.2">
      <c r="J81" s="1">
        <f>AVERAGE(J2:J78)</f>
        <v>0.26012202083048475</v>
      </c>
      <c r="N81" s="1">
        <f>AVERAGE(N2:N78)</f>
        <v>5.9914830477313021</v>
      </c>
      <c r="R81" s="1">
        <f>AVERAGE(R2:R78)</f>
        <v>0.95305831289994181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Linfield</cp:lastModifiedBy>
  <dcterms:created xsi:type="dcterms:W3CDTF">2026-01-22T12:42:11Z</dcterms:created>
  <dcterms:modified xsi:type="dcterms:W3CDTF">2026-01-27T19:44:04Z</dcterms:modified>
</cp:coreProperties>
</file>