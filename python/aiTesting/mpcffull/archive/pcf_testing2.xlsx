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amuellinfield/ijs/v2/mpcffull_testing/"/>
    </mc:Choice>
  </mc:AlternateContent>
  <xr:revisionPtr revIDLastSave="0" documentId="13_ncr:1_{5E85888C-C986-9D4D-AA09-B130092E9475}" xr6:coauthVersionLast="47" xr6:coauthVersionMax="47" xr10:uidLastSave="{00000000-0000-0000-0000-000000000000}"/>
  <bookViews>
    <workbookView xWindow="0" yWindow="500" windowWidth="38400" windowHeight="19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1" l="1"/>
  <c r="Q13" i="1"/>
  <c r="Q16" i="1"/>
  <c r="Q19" i="1"/>
  <c r="Q22" i="1"/>
  <c r="Q25" i="1"/>
  <c r="Q28" i="1"/>
  <c r="Q31" i="1"/>
  <c r="Q34" i="1"/>
  <c r="Q37" i="1"/>
  <c r="Q40" i="1"/>
  <c r="Q43" i="1"/>
  <c r="Q46" i="1"/>
  <c r="Q49" i="1"/>
  <c r="Q52" i="1"/>
  <c r="Q55" i="1"/>
  <c r="Q58" i="1"/>
  <c r="Q61" i="1"/>
  <c r="Q64" i="1"/>
  <c r="Q67" i="1"/>
  <c r="Q70" i="1"/>
  <c r="Q73" i="1"/>
  <c r="Q76" i="1"/>
  <c r="Q2" i="1"/>
  <c r="M5" i="1"/>
  <c r="M9" i="1"/>
  <c r="M11" i="1"/>
  <c r="M15" i="1"/>
  <c r="M17" i="1"/>
  <c r="M21" i="1"/>
  <c r="M23" i="1"/>
  <c r="M27" i="1"/>
  <c r="M29" i="1"/>
  <c r="M33" i="1"/>
  <c r="M35" i="1"/>
  <c r="M39" i="1"/>
  <c r="M41" i="1"/>
  <c r="M45" i="1"/>
  <c r="M47" i="1"/>
  <c r="M51" i="1"/>
  <c r="M53" i="1"/>
  <c r="M57" i="1"/>
  <c r="M59" i="1"/>
  <c r="M63" i="1"/>
  <c r="M65" i="1"/>
  <c r="M69" i="1"/>
  <c r="M71" i="1"/>
  <c r="M75" i="1"/>
  <c r="M77" i="1"/>
  <c r="E5" i="1"/>
  <c r="Q5" i="1" s="1"/>
  <c r="E6" i="1"/>
  <c r="M6" i="1" s="1"/>
  <c r="E7" i="1"/>
  <c r="Q7" i="1" s="1"/>
  <c r="E8" i="1"/>
  <c r="M8" i="1" s="1"/>
  <c r="E9" i="1"/>
  <c r="Q9" i="1" s="1"/>
  <c r="E10" i="1"/>
  <c r="M10" i="1" s="1"/>
  <c r="E11" i="1"/>
  <c r="Q11" i="1" s="1"/>
  <c r="E12" i="1"/>
  <c r="M12" i="1" s="1"/>
  <c r="E13" i="1"/>
  <c r="M13" i="1" s="1"/>
  <c r="E14" i="1"/>
  <c r="M14" i="1" s="1"/>
  <c r="E15" i="1"/>
  <c r="Q15" i="1" s="1"/>
  <c r="E16" i="1"/>
  <c r="M16" i="1" s="1"/>
  <c r="E17" i="1"/>
  <c r="Q17" i="1" s="1"/>
  <c r="E18" i="1"/>
  <c r="M18" i="1" s="1"/>
  <c r="E19" i="1"/>
  <c r="M19" i="1" s="1"/>
  <c r="E20" i="1"/>
  <c r="M20" i="1" s="1"/>
  <c r="E21" i="1"/>
  <c r="Q21" i="1" s="1"/>
  <c r="E22" i="1"/>
  <c r="M22" i="1" s="1"/>
  <c r="E23" i="1"/>
  <c r="Q23" i="1" s="1"/>
  <c r="E24" i="1"/>
  <c r="M24" i="1" s="1"/>
  <c r="E25" i="1"/>
  <c r="M25" i="1" s="1"/>
  <c r="E26" i="1"/>
  <c r="M26" i="1" s="1"/>
  <c r="E27" i="1"/>
  <c r="Q27" i="1" s="1"/>
  <c r="E28" i="1"/>
  <c r="M28" i="1" s="1"/>
  <c r="E29" i="1"/>
  <c r="Q29" i="1" s="1"/>
  <c r="E30" i="1"/>
  <c r="M30" i="1" s="1"/>
  <c r="E31" i="1"/>
  <c r="M31" i="1" s="1"/>
  <c r="E32" i="1"/>
  <c r="M32" i="1" s="1"/>
  <c r="E33" i="1"/>
  <c r="Q33" i="1" s="1"/>
  <c r="E34" i="1"/>
  <c r="M34" i="1" s="1"/>
  <c r="E35" i="1"/>
  <c r="Q35" i="1" s="1"/>
  <c r="E36" i="1"/>
  <c r="M36" i="1" s="1"/>
  <c r="E37" i="1"/>
  <c r="M37" i="1" s="1"/>
  <c r="E38" i="1"/>
  <c r="M38" i="1" s="1"/>
  <c r="E39" i="1"/>
  <c r="Q39" i="1" s="1"/>
  <c r="E40" i="1"/>
  <c r="M40" i="1" s="1"/>
  <c r="E41" i="1"/>
  <c r="Q41" i="1" s="1"/>
  <c r="E42" i="1"/>
  <c r="M42" i="1" s="1"/>
  <c r="E43" i="1"/>
  <c r="M43" i="1" s="1"/>
  <c r="E44" i="1"/>
  <c r="M44" i="1" s="1"/>
  <c r="E45" i="1"/>
  <c r="Q45" i="1" s="1"/>
  <c r="E46" i="1"/>
  <c r="M46" i="1" s="1"/>
  <c r="E47" i="1"/>
  <c r="Q47" i="1" s="1"/>
  <c r="E48" i="1"/>
  <c r="M48" i="1" s="1"/>
  <c r="E49" i="1"/>
  <c r="M49" i="1" s="1"/>
  <c r="E50" i="1"/>
  <c r="M50" i="1" s="1"/>
  <c r="E51" i="1"/>
  <c r="Q51" i="1" s="1"/>
  <c r="E52" i="1"/>
  <c r="M52" i="1" s="1"/>
  <c r="E53" i="1"/>
  <c r="Q53" i="1" s="1"/>
  <c r="E54" i="1"/>
  <c r="M54" i="1" s="1"/>
  <c r="E55" i="1"/>
  <c r="M55" i="1" s="1"/>
  <c r="E56" i="1"/>
  <c r="M56" i="1" s="1"/>
  <c r="E57" i="1"/>
  <c r="Q57" i="1" s="1"/>
  <c r="E58" i="1"/>
  <c r="M58" i="1" s="1"/>
  <c r="E59" i="1"/>
  <c r="Q59" i="1" s="1"/>
  <c r="E60" i="1"/>
  <c r="M60" i="1" s="1"/>
  <c r="E61" i="1"/>
  <c r="M61" i="1" s="1"/>
  <c r="E62" i="1"/>
  <c r="M62" i="1" s="1"/>
  <c r="E63" i="1"/>
  <c r="Q63" i="1" s="1"/>
  <c r="E64" i="1"/>
  <c r="M64" i="1" s="1"/>
  <c r="E65" i="1"/>
  <c r="Q65" i="1" s="1"/>
  <c r="E66" i="1"/>
  <c r="M66" i="1" s="1"/>
  <c r="E67" i="1"/>
  <c r="M67" i="1" s="1"/>
  <c r="E68" i="1"/>
  <c r="M68" i="1" s="1"/>
  <c r="E69" i="1"/>
  <c r="Q69" i="1" s="1"/>
  <c r="E70" i="1"/>
  <c r="M70" i="1" s="1"/>
  <c r="E71" i="1"/>
  <c r="Q71" i="1" s="1"/>
  <c r="E72" i="1"/>
  <c r="M72" i="1" s="1"/>
  <c r="E73" i="1"/>
  <c r="M73" i="1" s="1"/>
  <c r="E74" i="1"/>
  <c r="M74" i="1" s="1"/>
  <c r="E75" i="1"/>
  <c r="Q75" i="1" s="1"/>
  <c r="E76" i="1"/>
  <c r="M76" i="1" s="1"/>
  <c r="E77" i="1"/>
  <c r="Q77" i="1" s="1"/>
  <c r="E78" i="1"/>
  <c r="M78" i="1" s="1"/>
  <c r="E4" i="1"/>
  <c r="M4" i="1" s="1"/>
  <c r="E3" i="1"/>
  <c r="Q3" i="1" s="1"/>
  <c r="E2" i="1"/>
  <c r="M2" i="1" s="1"/>
  <c r="M3" i="1" l="1"/>
  <c r="M81" i="1" s="1"/>
  <c r="M7" i="1"/>
  <c r="Q78" i="1"/>
  <c r="Q72" i="1"/>
  <c r="Q66" i="1"/>
  <c r="Q60" i="1"/>
  <c r="Q54" i="1"/>
  <c r="Q48" i="1"/>
  <c r="Q42" i="1"/>
  <c r="Q36" i="1"/>
  <c r="Q30" i="1"/>
  <c r="Q24" i="1"/>
  <c r="Q18" i="1"/>
  <c r="Q12" i="1"/>
  <c r="Q6" i="1"/>
  <c r="Q4" i="1"/>
  <c r="Q81" i="1" s="1"/>
  <c r="Q74" i="1"/>
  <c r="Q68" i="1"/>
  <c r="Q62" i="1"/>
  <c r="Q56" i="1"/>
  <c r="Q50" i="1"/>
  <c r="Q44" i="1"/>
  <c r="Q38" i="1"/>
  <c r="Q32" i="1"/>
  <c r="Q26" i="1"/>
  <c r="Q20" i="1"/>
  <c r="Q14" i="1"/>
  <c r="Q8" i="1"/>
</calcChain>
</file>

<file path=xl/sharedStrings.xml><?xml version="1.0" encoding="utf-8"?>
<sst xmlns="http://schemas.openxmlformats.org/spreadsheetml/2006/main" count="249" uniqueCount="249">
  <si>
    <t>product_name</t>
  </si>
  <si>
    <t>cf_c2gate_min</t>
  </si>
  <si>
    <t>cf_c2gate_max</t>
  </si>
  <si>
    <t>cf_c2grave</t>
  </si>
  <si>
    <t>Unnamed: 4</t>
  </si>
  <si>
    <t>cf_ecozeAI</t>
  </si>
  <si>
    <t>cf_value_extracted</t>
  </si>
  <si>
    <t>% difference</t>
  </si>
  <si>
    <t>Unnamed: 8</t>
  </si>
  <si>
    <t>spend_based_ef_cf</t>
  </si>
  <si>
    <t>% difference.1</t>
  </si>
  <si>
    <t>ai_reasoning_sef</t>
  </si>
  <si>
    <t>Unnamed: 12</t>
  </si>
  <si>
    <t>activity_based_ef_cf</t>
  </si>
  <si>
    <t>% difference.2</t>
  </si>
  <si>
    <t>ai_resoning_aef</t>
  </si>
  <si>
    <t>Catalyst 9300-48P Switch</t>
  </si>
  <si>
    <t>Calculated by multiplying the estimated market retail price of approximately $3,153.00 (based on current street prices for the C9300-48P-A/E models) by the spend-based emissions factor for "Other Communications Equipment Manufacturing" (NAICS 334290) which is 0.114 kgCO2e per USD. Data source: US EPA Supply Chain Greenhouse Gas Emission Factors v1.2 (2021) - https://www.epa.gov/maintaining-supply-chain-emission-factors-and-data-quality-scores</t>
  </si>
  <si>
    <t>Calculated using a unit-based activity factor for the production of an enterprise-grade network switch. Research indicates that the cradle-to-gate manufacturing footprint of an average 48-port enterprise switch is approximately 448 kgCO2e per unit (with a standard deviation of 67 kg). This value accounts for raw material extraction (including precious metals), component production (semiconductors, PCBs), and assembly. Data source: Nordic Computer (2022) based on Dell'Oro Group industry shipment and LCA data - https://nordiccomputer.com/blog/what-is-the-carbon-footprint-from-manufacturing-a-network-switch/</t>
  </si>
  <si>
    <t>Catalyst 9407R Switch</t>
  </si>
  <si>
    <t>Calculated by multiplying the MSRP of the Cisco Catalyst 9407R chassis ($6,032.71, sourced from itprice.com and secureitstore.com) by the US EPA Supply Chain Greenhouse Gas Emission Factor for "Communications equipment manufacturing" (NAICS 334220), which is 0.18701 kgCO2e per 2022 USD (sourced from US EPA Supply Chain GHG Emission Factors v1.3, 2024).</t>
  </si>
  <si>
    <t>Calculated by multiplying the product weight of the Catalyst 9407R chassis with fan tray (28.58 kg, sourced from the Cisco Catalyst 9400 Series datasheet) by an activity-based emission factor for network switches of 22.5 kgCO2e/kg (sourced from the ADEME Base Empreinte database for "Commutateur réseau" / Network switch).</t>
  </si>
  <si>
    <t>Catalyst 9500-48Y4C Switch</t>
  </si>
  <si>
    <t>Calculated by multiplying the product's list price ($29,534.72 for the C9500-48Y4C-A model from the Cisco Global Price List 2025 via itprice.com) by the spend-based emission factor for "Other Communications Equipment Manufacturing" of 0.114 kgCO2e per USD (source: EPA Supply Chain Greenhouse Gas Emission Factors v1.2, 2021 USD purchaser price). Data source: https://www.epa.gov/maintaining-sustainable-materials-management-prioritization-tools/supply-chain-ghg-emission-factors</t>
  </si>
  <si>
    <t>Based on the industry average activity-based emission factor for the manufacturing of a network switch, estimated at 448 kgCO2e per unit (source: Nordic Computer, "What Is the Carbon Footprint from Manufacturing a Network Switch?", 2022). This value represents the cradle-to-gate embodied carbon for an enterprise-class switch, covering raw material extraction, component production, and assembly. Data source: https://nordiccomputer.com/news/what-is-the-carbon-footprint-from-manufacturing-a-network-switch/</t>
  </si>
  <si>
    <t>Catalyst C8300-1N1S-6T Router</t>
  </si>
  <si>
    <t>Calculated by multiplying the product's retail list price ($13,419.33, sourced from Cisco Global Price List via itprice.com) by the spend-based emissions factor for NAICS code 334210 (Telephone Apparatus Manufacturing, which includes networking and routing equipment). The emissions factor used is 0.201 kgCO2e per USD, sourced from the United States Environmental Protection Agency (EPA) Supply Chain Greenhouse Gas Emission Factors v1.3 (2024), based on 2021 purchaser prices (https://www.epa.gov/main/supply-chain-greenhouse-gas-emission-factors-v13-naics-6).</t>
  </si>
  <si>
    <t>Calculated by multiplying the product's weight (9.07 kg, sourced from technical specifications via convergetp.co.uk) by an activity-based emissions intensity factor of 40.81 kgCO2e/kg. This intensity factor was derived from the manufacturing phase (cradle-to-gate) of a similar enterprise-grade Cisco router (Cisco 8201-SYS), which reported 268.17 kgCO2e of manufacturing emissions for a 6.57 kg unit in its official Life Cycle Assessment (LCA) summary (https://manuals.plus/cisco/8201-sys-router-life-cycle-assessment-summary-manual).</t>
  </si>
  <si>
    <t>Catalyst C8500L-8S4X Edge Platform</t>
  </si>
  <si>
    <t>The cradle-to-gate carbon footprint was calculated by multiplying the product's MSRP of $36,049.19 (source: Cisco Global Price List via itprice.com) by the spend-based emission factor of 0.488 kgCO2e per USD. This factor is derived from the US EPA Supply Chain Greenhouse Gas Emission Factors (v1.2/v1.3) for the "Computers" sector (NAICS 3341), which serves as the standard proxy for enterprise networking hardware.</t>
  </si>
  <si>
    <t>The cradle-to-gate carbon footprint was calculated by multiplying the product's unit weight of 7.71 kg (source: Cisco Catalyst 8500 Series Edge Platforms Datasheet) by an activity-based emission factor of 34.45 kgCO2e per kg. This factor is sourced from the ecoinvent v3.7 database for "Router, internet {GLO} | ICT equipment" and specifically covers the manufacturing and raw material extraction phases (source: IETF Community Wiki, "Life cycle inventory and carbon footprint assessment of wireless ICT networks").</t>
  </si>
  <si>
    <t>Catalyst IE-3300-8T2S Rugged Switch</t>
  </si>
  <si>
    <t>Spend-based calculation using a retail price of $3,365.00 for the IE-3300-8T2S-A and the US EPA USEEIO v1.2 emission factor for "Communications Equipment Manufacturing" (NAICS 334220) valued at 0.215 kgCO2e per 2021 USD. Source: https://www.epa.gov/hesc/supply-chain-greenhouse-gas-emission-factors-v12-by-naics-6-digit-code</t>
  </si>
  <si>
    <t>Activity-based calculation using the product weight of 1.6 kg and an industrial-grade activity-based emission factor of 50 kgCO2e/kg for ruggedized networking equipment (cradle-to-gate), derived from industry-standard LCA benchmarks for enterprise-class electronics. Source: https://bilans-ges.ademe.fr/ and Ecoinvent v3.10 database benchmarks for "Network switch/Router" manufacturing.</t>
  </si>
  <si>
    <t>Catalyst IR1101 Rugged Router</t>
  </si>
  <si>
    <t>The calculation uses a spend-based approach by multiplying the product's list price of $1,219.94 (sourced from the Cisco Global Price List via itprice.com) by an emissions factor of 0.114 kgCO2e per USD. This factor is derived from the EPA Supply Chain GHG Emission Factors v1.2 (2021 USD) for the category "Telephone Apparatus Manufacturing" (NAICS 334210), which includes networking equipment such as routers and switches (https://www.epa.gov/system/files/documents/2023-04/SupplyChainGHGEmissionFactors_v1.2_NAICS_CO2e_USD2021.csv).</t>
  </si>
  <si>
    <t>The calculation uses an activity-based approach by multiplying the product's physical weight of 1.02 kg (sourced from the Cisco Catalyst IR1101 Rugged Series Router Datasheet) by an activity-based emissions factor of 24.865 kgCO2e per kg. This factor represents the average carbon intensity for "IT equipment" as established in the UK Government (DEFRA) Greenhouse Gas Conversion Factors for Company Reporting (https://www.gov.uk/government/publications/greenhouse-gas-reporting-conversion-factors-2021).</t>
  </si>
  <si>
    <t>Cisco 8201-SYS Router</t>
  </si>
  <si>
    <t>The cradle-to-gate carbon footprint was calculated by multiplying the estimated market price of the Cisco 8201-SYS Router ($128,021.00) by the US EPA spend-based emission factor for "Radio and television broadcasting and wireless communications equipment manufacturing" (0.215 kgCO2e/USD). Data source: US EPA Supply Chain Greenhouse Gas Emission Factors v1.2, released in 2023 (https://www.epa.gov/maintaining-supply-chain-ghg-emission-factors).</t>
  </si>
  <si>
    <t>The cradle-to-gate carbon footprint was calculated by multiplying the product's net device weight (6.57 kg) by an activity-based emission factor for "Digital Unit" networking infrastructure equipment (37.76 kgCO2e/kg). Data source: Ericsson Sustainability Research, "Developing a Parameterized Embodied Emissions Calculator for telecommunication networks equipment (PEEC)" (2022) via Diva-Portal (https://www.diva-portal.org/smash/get/diva2:1668853/FULLTEXT01.pdf).</t>
  </si>
  <si>
    <t>Cisco Catalyst 9166I Access Point</t>
  </si>
  <si>
    <t>Calculated by multiplying the product's MSRP of $2,586.02 (source: itprice.com) by the spend-based emission factor for "Radio and television broadcasting and wireless communications equipment manufacturing" (NAICS 334220) of 0.215 kgCO2e/USD (source: US EPA Supply Chain Greenhouse Gas Emission Factors v1.2, 2019 data via Climatiq).</t>
  </si>
  <si>
    <t>Calculated by multiplying the product's weight of 1.60 kg (source: Cisco Catalyst 9166 Series Datasheet) by an activity-based emission factor for electronics manufacturing of 44 kgCO2e/kg (source: ResearchGate / Idemat proxy for electronic component assembly cradle-to-gate).</t>
  </si>
  <si>
    <t>Cisco Catalyst 9200CX-12P-2X2G Compact Switch</t>
  </si>
  <si>
    <t>Calculated by multiplying the product's MSRP of $2,670.39 (sourced from router-switch.com) by the spend-based emission factor for "Other communications equipment manufacturing" (0.364 kgCO2e/USD) obtained from the United States Environmental Protection Agency (EPA) Supply Chain Greenhouse Gas Emission Factors v1.1 (based on the USEEIO model).</t>
  </si>
  <si>
    <t>Calculated by multiplying the product's physical weight of 2.99 kg (sourced from the Cisco Catalyst 9200CX Series datasheet) by an activity-based emission factor for enterprise-grade networking equipment manufacturing of 43.0 kgCO2e/kg. This factor is an industry average for high-complexity telecommunications hardware derived from life cycle assessment (LCA) studies (e.g., ITU-T L.1410 and academic ICT carbon footprint meta-analyses).</t>
  </si>
  <si>
    <t>Cisco Catalyst 9200L-48P-4X Switch</t>
  </si>
  <si>
    <t>Spend-based calculation using the US EPA Supply Chain Greenhouse Gas Emission Factors (v1.2) for the category "Other communications equipment manufacturing" (NAICS 334290), which provides an emissions factor of 0.114 kgCO2e per 2021 USD (purchaser price). The product price of $1,979.00 was determined based on current market retail pricing for the Network Essentials configuration (source: router-switch.com).</t>
  </si>
  <si>
    <t>Activity-based calculation using a cradle-to-gate emission factor for networking switches of 55 kgCO2e/kg (sourced from the ADEME Base Empreinte and Ecoinvent average for managed networking equipment). The product weight of 4.80 kg (10.58 lbs) was sourced from the official Cisco Catalyst 9200L series technical datasheet.</t>
  </si>
  <si>
    <t>Cisco Ceiling Microphone Pro</t>
  </si>
  <si>
    <t>Calculated by multiplying the product's manufacturer list price ($7,007.00) by the EPA Supply Chain Greenhouse Gas Emission Factor for "Audio and video equipment manufacturing" (0.169 kgCO2e/USD). Data source: https://www.provantage.com/cisco-systems-cs-microphone-clgpro-c~7CSCS68X.htm and https://www.climatiq.io/explorer/factors/electronics-type_audio_video_equipment</t>
  </si>
  <si>
    <t>Calculated by multiplying the product's weight (2.54 kg) by the UK Government (BEIS/DEFRA) 2021 emission factor for "IT equipment - average" (24.865 kgCO2e/kg). Data source: https://www.cdw.com/product/cisco-ceiling-microphone-pro-microphone/7680749 and https://www.maxeymoverley.com/carbon-footprint-of-electronics/</t>
  </si>
  <si>
    <t>Cisco CS-DESKPRO-K9</t>
  </si>
  <si>
    <t>Calculated by multiplying the estimated retail price of $2,717 USD by the EPA Supply Chain Greenhouse Gas Emission Factor for "Audio and video equipment manufacturing" which is 0.169 kgCO2e/USD. Source: EPA Supply Chain Greenhouse Gas Emission Factors v1.2 via Climatiq (https://www.climatiq.io/data/factor/electronics-type_audio_video_equipment)</t>
  </si>
  <si>
    <t>Calculated by multiplying the product weight of 11.6 kg by an activity-based emission factor of 60 kgCO2e/kg, representing the industry average for high-complexity integrated ICT and telecommunications hardware (cradle-to-gate). Source: Based on median embodied carbon benchmarks for professional-grade integrated displays and conferencing equipment (e.g., ADEME and PAIA-based LCA profiles).</t>
  </si>
  <si>
    <t>Cisco Desk Phone 9871</t>
  </si>
  <si>
    <t>The spend-based carbon footprint was calculated by multiplying the retail price of the product ($269.95, sourced from Shop4Tele) by the EPA USEEIO v1.3 supply chain emission factor for "Other communications equipment manufacturing" (NAICS 334290). The factor used is 0.08 kgCO2e per USD (2022 prices), representing the cradle-to-shelf emissions intensity. Data source: EPA Supply Chain Greenhouse Gas Emission Factors v1.3 (via Climatiq.io).</t>
  </si>
  <si>
    <t>The activity-based carbon footprint was calculated by multiplying the physical weight of the product (1.055 kg, sourced from the Cisco 9800 Series Datasheet) by the average-data emission factor for electronic IT equipment. The factor used is 24.865 kgCO2e per kg of product, which is the UK Government (DEFRA) 2021 standard for embodied carbon in IT/electronic devices. Data source: UK Department for Environment, Food &amp; Rural Affairs (DEFRA) / Maxey Moverley ICT Carbon Study.</t>
  </si>
  <si>
    <t>Cisco IP Phone 8851</t>
  </si>
  <si>
    <t>The cradle-to-gate carbon footprint was calculated by multiplying the product's Manufacturer's Suggested Retail Price (MSRP) of $713.55 (sourced from VoIP Supply) by the spend-based emission factor for "Telephones" of 0.193 kgCO2e/USD. This emission factor is derived from the US EPA Supply Chain Greenhouse Gas Emission Factors (USEEIO v1.0.1) as reported by Climatiq (https://www.climatiq.io/data/activity/electronics-type_telephones).</t>
  </si>
  <si>
    <t>The cradle-to-gate carbon footprint was calculated by multiplying the product's weight of 1.19 kg (sourced from the Cisco IP Phone 8851 Data Sheet) by an activity-based emission factor of 24.865 kgCO2e/kg. This factor represents the average embodied carbon intensity for electronic IT devices as established by the UK Department for Environment, Food and Rural Affairs (DEFRA) 2021 conversion factors (sourced via Maxey Moverley: https://www.maxeymoverley.com/carbon-footprint-of-electronics/).</t>
  </si>
  <si>
    <t>Cisco Meraki MX67 Router/Security Appliance</t>
  </si>
  <si>
    <t>Spend-based calculation using the US EPA Supply Chain Greenhouse Gas Emission Factors v1.3 (released July 2024, based on 2022 data) for NAICS code 334290 "Other communications equipment manufacturing," which provides a factor of 0.08 kgCO2e/USD. The product list price of $850.06 was sourced from the Cisco Global Price List (via itprice.com).</t>
  </si>
  <si>
    <t>Activity-based calculation using the Ecoinvent v3.7/v3.10 emission factor for "Router, internet {GLO}," which provides a value of 34.45 kgCO2e/kg. The product weight of 0.79 kg (1.74 lb) was sourced from the official Cisco Meraki MX67/MX68 Series Datasheet.</t>
  </si>
  <si>
    <t>Apple Studio Display</t>
  </si>
  <si>
    <t>The cradle-to-gate carbon footprint was calculated by multiplying the retail price of the standard Apple Studio Display ($1,599.00) by the spend-based emission factor for "Computers" (0.488 kgCO2e/USD). The emission factor is sourced from the EPA Supply Chain Greenhouse Gas Emission Factors Dataset (2018), which provides cradle-to-shelf (gate) factors for various commodity categories. Source: https://www.epa.gov/maintaining-supply-chain-emission-factors-dataset</t>
  </si>
  <si>
    <t>The cradle-to-gate carbon footprint was calculated by multiplying the weight of the Apple Studio Display with a tilt-adjustable stand (6.3 kg) by the activity-based emission factor for "electronic (IT) devices" (24.865 kgCO2e/kg). This factor represents the carbon intensity of producing IT equipment, covering raw material extraction and manufacturing. Source: UK Government GHG Conversion Factors for Company Reporting (2021) and Maxey Moverley ICT Carbon Analysis.</t>
  </si>
  <si>
    <t>Amazon Kindle Scribe 32GB (3rd Gen, 2025 Release)</t>
  </si>
  <si>
    <t>USEEIO spend-based emission factor for "Computers" with a value of 0.488 kgCO2e/USD applied to the product's retail price of $499 (Source: Climatiq, https://www.climatiq.io/data/activity/electronics-type_computer)</t>
  </si>
  <si>
    <t>ADEME activity-based emission factor for "Tablette tactile" with a value of 159.5 kgCO2e/kg, derived from a standard unit impact of 63.8 kgCO2e for an 11-inch tablet applied to the product's weight of 0.4 kg (Source: ADEME Base Empreinte, https://base-empreinte.ademe.fr/)</t>
  </si>
  <si>
    <t>Apple HomePod (2nd generation)</t>
  </si>
  <si>
    <t>Calculated by multiplying the retail price of $299 by the US EPA spend-based emission factor for "Audio and video equipment manufacturing" (NAICS 334300), which is valued at 0.124 kgCO2e per 2021 USD (Source: EPA Supply Chain Greenhouse Gas Emission Factors v1.2, 2023).</t>
  </si>
  <si>
    <t>Calculated using a bottom-up material breakdown of the 2.3 kg product weight: 10% Printed Circuit Boards (0.23kg @ 150 kgCO2e/kg), 5% Neodymium Magnets (0.115kg @ 84 kgCO2e/kg), 30% Aluminum (0.69kg @ 12 kgCO2e/kg), 40% Plastic (0.92kg @ 6 kgCO2e/kg), and 15% Copper/Misc (0.345kg @ 8 kgCO2e/kg). Emission factors sourced from ResearchGate (PCB), Mkango Resources (Neodymium), and Climatiq/Ecoinvent (Aluminum/Plastic).</t>
  </si>
  <si>
    <t>Apple Mac mini with M4 Pro (64GB memory, 8TB SSD)</t>
  </si>
  <si>
    <t>Calculated by multiplying the retail price of the product ($4,599 for the 14-core CPU, 20-core GPU, 64GB RAM, 8TB SSD configuration) by the spend-based emissions factor for "Computers" from the US EPA Supply Chain Greenhouse Gas Emission Factors (USEEIO v1.1), which is 0.488 kgCO2e per USD (purchaser price). Source: EPA Supply Chain Greenhouse Gas Emission Factors for U.S. Industries and Commodities (2020), available at https://catalog.data.gov/dataset/supply-chain-greenhouse-gas-emission-factors-v1-1-by-naics-6.</t>
  </si>
  <si>
    <t>Calculated using a bottom-up activity-based summation of embodied carbon for major components: 1) 8TB SSD: 1,280 kgCO2e based on a manufacturing factor of 0.16 kgCO2e/GB (Source: "The Dirty Secret of SSDs: Embodied Carbon," Gupta et al., 2021, arXiv:2109.12328). 2) 64GB RAM: 32 kgCO2e based on 0.5 kgCO2e/GB for DRAM (Source: ibid). 3) M4 Pro SoC: 30 kgCO2e estimated for a ~240mm² die on TSMC 3nm process (~0.12 kgCO2e/mm²). 4) Aluminum Enclosure: 1 kgCO2e (approx. 0.5kg of 100% recycled aluminum at 2.0 kgCO2e/kg). 5) Other components (PCB, PSU, packaging, assembly) and transport: 15 kgCO2e. Total: 1280 + 32 + 30 + 1 + 15 = 1,358 kgCO2e.</t>
  </si>
  <si>
    <t>Apple Watch SE 3 (44mm paired with Sport Loop)</t>
  </si>
  <si>
    <t>Calculated by multiplying the retail price of $279.00 USD (Apple Watch SE 3 44mm GPS base price) by the 2024 CEDA (Comprehensive Environmental Data Archive) spend-based emission factor for "Electronic computer manufacturing" of 0.227 kgCO2e/USD. Source: Climatiq (https://www.climatiq.io/data/factor/electronics-type_electronic_computer).</t>
  </si>
  <si>
    <t>Calculated using the product's estimated bill of materials and manufacturing energy. The 44mm case (32.9g) consists of 100% recycled aluminum (~20g @ 1.5 kgCO2e/kg = 0.03 kgCO2e) and the Sport Loop (11g) consists of recycled nylon (~11g @ 3.0 kgCO2e/kg = 0.033 kgCO2e). The S10 SiP and internal electronics are estimated at 24.0 kgCO2e based on industry-average LCA data for high-density smartwatch logic boards (accounting for ~70-80% of total manufacturing impact). Assembly energy is estimated at 10 kWh using a global average grid factor of 0.45 kgCO2e/kWh (4.5 kgCO2e), with an additional 1.5 kgCO2e for packaging and cradle-to-gate logistics. Sources: Apple Tech Specs (https://www.apple.com/apple-watch-se/specs/) and Cornell University/UChicago Wearable Health Tech Study (https://news.cornell.edu/stories/2026/01/study-examines-carbon-footprint-wearable-health-tech).</t>
  </si>
  <si>
    <t>Apple MacBook Pro 16-inch (512GB)</t>
  </si>
  <si>
    <t>The cradle-to-gate carbon footprint was calculated by multiplying the retail price of $2,499 for the 16-inch MacBook Pro (512GB) by the spend-based emissions factor of 0.488 kgCO2e/USD. This factor is sourced from the EPA Supply Chain Greenhouse Gas Emission Factors v1.1 (2018) under the "Computers" category. Data source: https://www.epa.gov/main/supply-chain-greenhouse-gas-emission-factors-v11</t>
  </si>
  <si>
    <t>The cradle-to-gate carbon footprint was calculated by multiplying the product weight of 2.14 kg by the activity-based emissions factor of 24.865 kgCO2e/kg. This factor is sourced from the UK Government (DEFRA) 2021 Greenhouse Gas Reporting Conversion Factors for "Electronic (IT) devices." Data source: https://www.gov.uk/government/publications/greenhouse-gas-reporting-conversion-factors-2021</t>
  </si>
  <si>
    <t>Amazon Kindle Scribe Colorsoft 32GB (1st Gen, 2025 Release)</t>
  </si>
  <si>
    <t>The cradle-to-gate carbon footprint was calculated by multiplying the retail price of $629.99 (as reported by Best Buy and Good e-Reader for the 2025 release) by the US EPA Supply Chain Greenhouse Gas Emission Factor for "Electronic Computer Manufacturing" (NAICS 334111). The factor used is 0.112 kgCO2e per USD (purchaser price, including margins). Source: US EPA Supply Chain GHG Emission Factors v1.3 (2024 Release), available at https://catalog.data.gov/dataset/supply-chain-greenhouse-gas-emission-factors-v1-3-by-naics-6.</t>
  </si>
  <si>
    <t>The cradle-to-gate carbon footprint was estimated using the activity-based emission factor for a Kindle e-reader device, which is 168 kgCO2e per unit. This value is derived from the comprehensive life cycle assessment (LCA) conducted by the Cleantech Group and the Rochester Institute of Technology (RIT), which accounts for the high-intensity manufacturing of the E Ink display, aluminum chassis, and electronic components. Source: Cleantech Group LLC (Emma Ritch, 2009/2012) and Rochester Institute of Technology research on the "Environmental Impact of E-Books," widely cited in environmental literature (e.g., https://txst.edu/content/dam/txstate/www/academics/program-accreditation-and-assessment/sustainability/KindleImpact.pdf).</t>
  </si>
  <si>
    <t>Apple iPad Pro 11-inch (M5) Wi-Fi + Cellular 2TB</t>
  </si>
  <si>
    <t>Calculated by multiplying the retail price of $2,199 ($1,999 base for 2TB + $200 for Wi-Fi + Cellular configuration) by the USEEIO v1.3 spend-based emission factor for "Electronic Computer Manufacturing" (NAICS 334111), which is 0.112 kgCO2e per USD (purchaser price with margins). Source: US EPA Supply Chain Greenhouse Gas Emission Factors v1.3 (2024), available at epa.gov.</t>
  </si>
  <si>
    <t>Calculated by multiplying the product's physical weight of 0.446 kg by an activity-based emission factor of 143.55 kgCO2e/kg. This factor is derived from the ecoinvent v3.8 "Market for consumer electronics, mobile device, tablet [GLO]" dataset, which provides an impact of 74.5 kgCO2e for a reference tablet unit weighing 0.519 kg. Source: ecoinvent v3.8 database via Climatiq and SAI Organization (thesai.org).</t>
  </si>
  <si>
    <t>Apple iPad Pro 13-inch (M5) Wi-Fi + Cellular 256GB</t>
  </si>
  <si>
    <t>The cradle-to-gate carbon footprint was calculated by multiplying the product's retail price of $1,499.99 (sourced from Verizon and Walmart retail listings) by the spend-based emission factor for "Computer and peripheral equipment manufacturing" (NAICS 334111) of 0.231 kgCO2e per USD. This factor is sourced from the US EPA Supply Chain Greenhouse Gas Emission Factors v1.3 (https://catalog.data.gov/dataset/supply-chain-greenhouse-gas-emission-factors-v1-3-by-naics-6).</t>
  </si>
  <si>
    <t>The cradle-to-gate carbon footprint was calculated by multiplying the product's weight of 0.582 kg (sourced from GSMArena and CDW technical specifications) by an activity-based emission factor for tablet computers of 180 kgCO2e per kg of product. This factor represents the average cradle-to-gate intensity for high-density mobile electronics, derived from industry-standard life cycle assessment (LCA) databases such as Ecoinvent and academic studies on tablet manufacturing (e.g., Foxway Sustainability Report 2024 and WSEAS Transactions on Environment and Development).</t>
  </si>
  <si>
    <t>Apple iPad mini (A17 Pro) Wi-Fi + Cellular 256GB</t>
  </si>
  <si>
    <t>Calculated by multiplying the retail price ($749.99) by the CEDA (Comprehensive Environmental Data Archive) 2024/2025 spend-based emission factor for "Electronic computer manufacturing" (0.227 kgCO2e/USD). Source: Climatiq/Watershed Open CEDA 2024 (https://www.climatiq.io/explorer/factors/electronics-type_electronic_computer).</t>
  </si>
  <si>
    <t>Calculated by multiplying the product weight (0.297 kg) by the ADEME (French Agency for Ecological Transition) activity-based emission factor for tablet computers (294.8 kgCO2e/kg, derived from the Base Empreinte unit factor of 153 kg for a 0.519 kg reference unit). Source: ADEME Base Empreinte (https://base-empreinte.ademe.fr/).</t>
  </si>
  <si>
    <t>Apple iPhone 17 Pro 1TB</t>
  </si>
  <si>
    <t>Calculated by multiplying the estimated retail price ($1,499) by the spend-based emission factor for "Computer terminals and other computer peripheral equipment" (0.196 kgCO2e/USD) from the EPA Supply Chain Greenhouse Gas Emission Factors for U.S. Commodities (2018 data, released 2022). Data source: https://www.epa.gov/system/files/documents/2022-03/supply_chain_ghg_emission_factors_march_2022.pdf</t>
  </si>
  <si>
    <t>Calculated by multiplying the product's estimated weight (0.206 kg) by an activity-based emission factor for smartphone production (300 kgCO2e per kg of product). This factor is derived from research by PwC and the Green Alliance, which indicates that smartphone production typically generates 60kg of CO2e, equivalent to more than 300 times the device's weight. Data source: https://green-alliance.org.uk/wp-content/uploads/2021/11/Design_for_a_circular_economy.pdf</t>
  </si>
  <si>
    <t>Apple iPhone 17 Pro Max 512GB</t>
  </si>
  <si>
    <t>The spend-based carbon footprint was calculated by multiplying the estimated retail price of the Apple iPhone 17 Pro Max 512GB ($1,399.00) by the US EPA (USEEIO v1.2) emission factor for "Telephone apparatus manufacturing" (NAICS 334220), which is 0.201 kgCO2e/USD. Data source: US EPA Supply Chain Greenhouse Gas Emission Factors v1.2 (via Climatiq/EPA, 2023-2025).</t>
  </si>
  <si>
    <t>The activity-based carbon footprint was calculated using a component-level mass and energy intensity breakdown. Key contributors include: 1) A19 Pro SoC (3nm node) estimated at 25 kgCO2e based on semiconductor fab energy intensity; 2) 512GB NAND flash memory at 11.3 kgCO2e (22 kgCO2e/TB factor from 2025 storage LCA studies); 3) 12GB LPDDR5X RAM at 10 kgCO2e; 4) 6.9-inch OLED display assembly at 10 kgCO2e; 5) 19.77 Wh battery production at 2.0 kgCO2e (100 kgCO2e/kWh factor); 6) Recycled aluminum frame and Ceramic Shield glass at 0.2 kgCO2e; and 7) PCB/passive components and assembly at 24.5 kgCO2e. Total cradle-to-gate impact is approximately 83 kgCO2e. Data sources include StorageNewsletter/HAL Science (2025), MIT Climate Portal (2025), and general electronics LCA research (Fraunhofer/Everphone 2022).</t>
  </si>
  <si>
    <t>Apple iPhone 16e 512GB</t>
  </si>
  <si>
    <t>The cradle-to-gate carbon footprint was calculated by multiplying the retail price of the product ($899.00 USD) by the spend-based emission factor for "Communication equipment manufacturing." The factor used is 0.234 kgCO2e per USD, sourced from the US EPA's Supply Chain Greenhouse Gas Emission Factors for US Industries and Commodities (USEEIO v1.1.1, Commodity Code 334220: Radio and television broadcasting and wireless communications equipment manufacturing). Data source: https://www.epa.gov/maintaining-and-improving-useeio-models</t>
  </si>
  <si>
    <t>The cradle-to-gate carbon footprint was calculated by multiplying the total weight of the product (0.167 kg) by an activity-based emission factor for "Consumer electronics - mobile device - smartphone." The factor used is 359.28 kgCO2e per kg of finished product, which is derived from the Ecoinvent v3.10 database (infrastructure unit for one smartphone representing ~60 kgCO2e for a standard device weight). This factor accounts for the raw material extraction, high-intensity semiconductor manufacturing (including the 512GB NVMe storage), and final assembly. Data source: https://www.climatiq.io/explorer/factors/electronics-type_consumer_electronics_mobile_device_smartphone_market_for_consumer_electronics_mobile_device_smartphone</t>
  </si>
  <si>
    <t>Ring Outdoor Cam Pro (Plug-In)</t>
  </si>
  <si>
    <t>The cradle-to-gate carbon footprint was calculated by multiplying the retail price of $199.99 (MSRP for the Ring Outdoor Cam Pro Plug-In) by the spend-based emission factor for "Audio and video equipment manufacturing" (NAICS 334310) from the EPA Supply Chain Greenhouse Gas Emission Factors for US Industries and Commodities (v1.2, released 2023). The factor used is 0.169 kgCO2e per 2021 USD (purchaser price). Data source: https://www.epa.gov/system/files/documents/2023-03/Supply%20Chain%20GHG%20Emission%20Factors%20v1.2%20by%20NAICS.xlsx</t>
  </si>
  <si>
    <t>The cradle-to-gate carbon footprint was calculated by multiplying the product weight of 1.04 kg (2.293 lbs, representing the total weight of the Plug-In SKU including the camera unit, power adapter, and 20ft cable as cited by Best Buy and Kohl's) by an activity-based emission factor for electronics. The factor used is 24.865 kgCO2e/kg, which is the 2022 UK Government GHG Conversion Factor for "Material use: electronics" (Average IT equipment/electronics). Data source: https://www.gov.uk/government/publications/greenhouse-gas-reporting-conversion-factors-2022</t>
  </si>
  <si>
    <t>Apple Watch Ultra 3 paired with Titanium Milanese Loop</t>
  </si>
  <si>
    <t>Calculated by multiplying the product's retail price ($799) by the US EPA USEEIO v1.2 spend-based emission factor for "Computer and peripheral equipment manufacturing" (NAICS 334111), valued at 0.315 kgCO2e per USD. Source: US EPA USEEIO v1.2 (https://catalog.data.gov/dataset/useeio-v1-2-matrices)</t>
  </si>
  <si>
    <t>Activity-based calculation based on a total material weight of 94.6g, comprising 68g of primary Titanium (case and band), 10g of Sapphire Crystal, 10g of Lithium-ion battery, and 6.6g of Integrated Circuits/PCB. Emission factors used: Titanium (48.33 kgCO2e/kg via Climatiq), Sapphire Crystal (870 kgCO2e/kg via Scientific Visual), Li-ion battery (21.4 kgCO2e/kg via Transport &amp; Environment), and Integrated Circuits (800 kgCO2e/kg via imec). Sources: Climatiq (https://www.climatiq.io/data), Scientific Visual (https://scientificvisual.ch/sapphire-footprint), and imec (https://www.imec-int.com/en/netzero)</t>
  </si>
  <si>
    <t>HP 200 G3 All-in-One PC (North America)</t>
  </si>
  <si>
    <t>The cradle-to-gate carbon footprint was calculated by multiplying the estimated retail price of the product ($600 USD, based on the 2018 launch price of approximately 40,000–45,000 INR) by the spend-based emissions factor of 0.112 kgCO2e per USD. This factor is derived from the U.S. EPA Supply Chain Greenhouse Gas Emission Factors (v1.2, 2023) for NAICS code 334111 (Electronic Computer Manufacturing), which represents the total supply chain emissions including margins. Source: https://www.epa.gov/maintaining-and-improving-supply-chain-ghg-emission-factors</t>
  </si>
  <si>
    <t>The cradle-to-gate carbon footprint was calculated by multiplying the product weight (5.39 kg, including stand) by an activity-based emissions factor of 57.75 kgCO2e per kg. This emission factor was derived from the Product Carbon Footprint (PCF) report for the successor model, the HP 200 Pro G4 22 All-in-One PC, which estimates a mean total lifecycle of 660 kgCO2e with manufacturing accounting for 56% (369.6 kgCO2e) for a 6.4 kg unit. The calculation uses the manufacturing phase (cradle-to-gate) only. Source: https://h20195.www2.hp.com/v2/GetDocument.aspx?docname=c06915152 (HP Product Carbon Footprint Report)</t>
  </si>
  <si>
    <t>Samsung Signage QB55B</t>
  </si>
  <si>
    <t>Calculated by multiplying the product's market MSRP ($999.00) by the spend-based emission factor for "Audio and video equipment manufacturing" (0.334 kgCO2e/USD). The factor is sourced from the US EPA Supply Chain Greenhouse Gas Emission Factors for US Industries and Commodities (v1.3, 2022), which provides cradle-to-shelf (gate plus distribution margins) factors based on NAICS code 334310. Data source: https://catalog.data.gov/dataset/supply-chain-greenhouse-gas-emission-factors-v1-2-by-naics-6</t>
  </si>
  <si>
    <t>Calculated by multiplying the net set weight of the product (18.1 kg) by an independent activity-based emission factor for large-format LED-backlit LCD displays (31.0 kgCO2e/kg). The factor is sourced from the independent report "Virtual production: A study on its environmental impact" (2022/2023), which provides cradle-to-gate impact ranges for televisions and displays based on lifecycle assessment (LCA) data from ADEME and other non-manufacturer sources. Data source: https://futureobservatory.org/blog/virtual-production-carbon-reduction-report</t>
  </si>
  <si>
    <t>HomePod mini</t>
  </si>
  <si>
    <t>The cradle-to-gate carbon footprint was calculated by multiplying the product's MSRP of $99.00 by the spend-based emission factor for "Audio and Video Equipment Manufacturing" (NAICS 334310). The emission factor used is 0.124 kgCO2e per 2021 USD (purchaser price, including margins), sourced from the US EPA's Supply Chain Greenhouse Gas Emission Factors v1.2 (published in 2023). Data source: https://www.epa.gov/main/supply-chain-greenhouse-gas-emission-factors-v12-naics-6-dataset</t>
  </si>
  <si>
    <t>The cradle-to-gate carbon footprint was calculated by multiplying the product's weight of 0.345 kg (345 grams) by an activity-based emission factor for electronic devices. The factor used is 24.865 kgCO2e per kg of electronic equipment, which is the industry average for "Electrical and Electronic Equipment" manufacturing. Data source: UK Government Department for Environment, Food &amp; Rural Affairs (DEFRA) 2021 Greenhouse Gas Reporting Conversion Factors. Source URL: https://www.gov.uk/government/publications/greenhouse-gas-reporting-conversion-factors-2021</t>
  </si>
  <si>
    <t>Apple MacBook Pro 14-inch (M5) (1TB SSD Storage and 24GB Unified Memory)</t>
  </si>
  <si>
    <t>The cradle-to-gate carbon footprint was calculated by multiplying the retail price of $1,999 (for the 24GB RAM, 1TB SSD configuration) by the spend-based emissions factor for "Electronic computer manufacturing" (NAICS 334111) from the US EPA Supply Chain Greenhouse Gas Emission Factors v1.2/v1.3, which is 0.155 kgCO2e per USD. Data source: https://catalog.data.gov/dataset/supply-chain-greenhouse-gas-emission-factors-v1-2-by-naics-6</t>
  </si>
  <si>
    <t>The cradle-to-gate carbon footprint was calculated by multiplying the product weight of 1.55 kg by the activity-based emission factor for "laptop computer production" from the ecoinvent v3.10 database, which is 186.7 kgCO2e per kg of product. This factor accounts for the high-intensity manufacturing of integrated circuits, the Liquid Retina XDR display, and the 72.4Wh lithium-polymer battery. Data source: https://ecoinvent.org/the-ecoinvent-database/data-releases/ecoinvent-3-10/</t>
  </si>
  <si>
    <t>Ring Wired Doorbell Pro (Plug-In - 3rd Gen)</t>
  </si>
  <si>
    <t>The cradle-to-gate carbon footprint was calculated by multiplying the retail price of $249.99 by the spend-based emissions factor for "Audio and Video Equipment Manufacturing" (NAICS 334300) from the US EPA Supply Chain Greenhouse Gas Emission Factors v1.2 (released 2023), which is 0.124 kgCO2e per USD (purchaser price). Source: https://www.epa.gov/system/files/documents/2023-03/Supply%20Chain%20GHG%20Emission%20Factors%20v1.2%20by%20NAICS%20Code.pdf</t>
  </si>
  <si>
    <t>The cradle-to-gate carbon footprint was calculated by multiplying the product's weight of 0.216 kg (216 grams) by an activity-based emissions factor for high-complexity "compact consumer electronics" (e.g., small cameras/smartphones) of 82 kgCO2e per kg. This factor accounts for the high intensity of semiconductor and PCB manufacturing as cited in the study "Comprehensive Life Cycle Evaluation of Carbon Emission from ICT Equipment" (Aalto University, 2022). Source: https://aaltodoc.aalto.fi/handle/123456789/114175</t>
  </si>
  <si>
    <t>Amazon Fire TV 50" Omni QLED Series (2nd Gen)</t>
  </si>
  <si>
    <t>Calculated by multiplying the product's launch MSRP of $529.99 by the spend-based emission factor for "Audio and video equipment manufacturing" (NAICS 334310) from the US EPA Supply Chain Greenhouse Gas Emission Factors v1.2 (2023), which is 0.215 kgCO2e per USD (cradle-to-shelf). Source: https://www.epa.gov/system/files/documents/2023-03/Supply%20Chain%20GHG%20Emission%20Factors%20v1.2%20by%20NAICS.pdf</t>
  </si>
  <si>
    <t>Calculated by multiplying the product weight of 11.5 kg (unit with stand) by an activity-based emission factor of 22.342 kgCO2e/kg. This factor is derived from the cradle-to-gate (pre-manufacturing and manufacturing) life cycle phases for a 50-inch LED display, based on the Samsung Product Carbon Footprint report for the LH50QBCEBGCXEN 50" Smart Signage model, which estimates 332.9 kgCO2e for a 14.9 kg unit. Source: https://www.samsung.com/us/business/support/owners/product/qb-c-series-smart-signage-lh50qbcebgcxen/</t>
  </si>
  <si>
    <t>Kindle Scribe Without Front Light 16GB (3rd Gen, 2025 Release)</t>
  </si>
  <si>
    <t>Calculated by multiplying the retail price of the product ($429.99) by the spend-based emission factor for "Computer and peripheral equipment manufacturing" (NAICS 33411). The emission factor used is 0.144 kgCO2e per USD, sourced from the US EPA Supply Chain Greenhouse Gas Emission Factors for US Industries (v1.1, 2023) - https://www.epa.gov/main/supply-chain-greenhouse-gas-emission-factors-us-industries-and-commodities</t>
  </si>
  <si>
    <t>Calculated using a material-weight breakdown and activity-specific cradle-to-gate emission factors for a 400g device. The breakdown includes: 0.2 kg Aluminum chassis (12.5 kgCO2e/kg), an 11-inch E Ink display module (8.6 kgCO2e, extrapolated by screen area from the BSI-verified 6.8-inch module at 3.30 kgCO2e), a 0.06 kg Lithium-ion battery (15 kgCO2e/kg), 0.02 kg of Printed Circuit Boards (40 kgCO2e/kg), and manufacturing/assembly energy (estimated at 18 kgCO2e per unit for a high-precision electronic tablet). Data sources include the International Aluminium Institute (2024), E Ink Holdings ISO 14067 BSI Verification (2022), and Climatiq/Ecoinvent v3.8 activity-based factors.</t>
  </si>
  <si>
    <t>Amazon Fire TV 43" 4-Series (3rd Gen)</t>
  </si>
  <si>
    <t>Spend-based calculation using the EPA Supply Chain Greenhouse Gas Emission Factors v1.2 (released 2023, 2019 data) for the category "Radio and television broadcasting and wireless communications equipment manufacturing" (NAICS 334220), which provides a factor of 0.215 kgCO2e per USD. The retail price of the product is estimated at $299.99 based on standard market listings. (Source: https://www.epa.gov/main-supply-chain-ghg-emission-factors-v12)</t>
  </si>
  <si>
    <t>Activity-based calculation using the product's weight of 7.03 kg (15.5 lbs without stand) and an industry-average cradle-to-gate emission factor of 31 kgCO2e per kg for mid-sized (40-49") LED televisions. (Sources: Weight from Amazon Fire TV 43" 4-Series technical specifications; Emission factor from "Virtual production: A study on its environmental impact," which cites a range of 31–40 kgCO2e/kg for television manufacturing: https://adrbi.ro/wp-content/uploads/2023/04/Virtual-Production-A-study-on-its-environmental-impact.pdf)</t>
  </si>
  <si>
    <t>Amazon Fire TV 55" 4-Series (3rd Gen)</t>
  </si>
  <si>
    <t>Calculated by multiplying the retail price of $469.99 (standard list price for the 2024/2025 model) by the spend-based emission factor for "Radio and television broadcasting and wireless communications equipment manufacturing" (NAICS 334220) of 0.215 kgCO2e/USD. This factor is sourced from the EPA Supply Chain Greenhouse Gas Emission Factors v1.2 (released 2023, based on 2019 data) and retrieved via the Climatiq database.</t>
  </si>
  <si>
    <t>Calculated by multiplying the product's net weight of 11.5 kg (approx. 25.4 lbs without stand) by an activity-based emission factor of 24.865 kgCO2e/kg. This factor represents the average carbon intensity for the production of electronic and IT devices, as established by the UK Department for Environment, Food &amp; Rural Affairs (DEFRA) and the UK Government’s Greenhouse Gas Conversion Factors for Company Reporting (2021/2022). This factor covers the cradle-to-gate phase including raw material extraction and manufacturing.</t>
  </si>
  <si>
    <t>HP 240 G7 Notebook PC (Asia Pacific)</t>
  </si>
  <si>
    <t>Calculated by multiplying the estimated retail price of the HP 240 G7 ($450 USD, based on regional market listings in the Asia Pacific region for i3/i5 variants) by the USEEIO (EPA) spend-based emission factor for the "Computers" commodity category (0.488 kgCO2e per USD). Data source: Climatiq/USEEIO (https://www.climatiq.io/explorer/electronics-type_computers).</t>
  </si>
  <si>
    <t>Calculated using an activity-based emission factor for the embodied carbon (cradle-to-gate) of a 14-inch HP business laptop (215 kgCO2e per unit). This factor represents the manufacturing and raw material acquisition phase for a comparable HP business-class notebook. Data source: Kainos/Climatiq (https://www.kainos.com/insights/blogs/reducing-your-carbon-emissions-with-kainos-smart-test).</t>
  </si>
  <si>
    <t>HP 14 Laptop</t>
  </si>
  <si>
    <t>Calculated by multiplying the estimated MSRP ($299.00) by the US EPA Supply Chain Greenhouse Gas Emission Factor for the "Computers" commodity category (0.488 kgCO2e per USD). Source: US EPA Supply Chain Greenhouse Gas Emission Factors v1.1 (2020), https://catalog.data.gov/dataset/supply-chain-greenhouse-gas-emission-factors-v1-1-by-naics-6</t>
  </si>
  <si>
    <t>Calculated using the activity-based emission factor for a single laptop unit (cradle-to-gate). Source: ecoinvent v3.8 database (172 kgCO2e per laptop item), as cited in the Energy Changes 2024 Corporate Carbon Footprint Report, https://energy-changes.com/wp-content/uploads/2024/02/Corporate-Carbon-Footprint-2024.pdf</t>
  </si>
  <si>
    <t>HP 200 Pro G4 All-in-One PC (North America)</t>
  </si>
  <si>
    <t>Calculated by multiplying the estimated retail price of $550 USD for the HP 200 Pro G4 All-in-One PC (based on North American market listings for the Intel Core i3 configuration) by the US EPA Supply Chain Greenhouse Gas Emission Factor (v1.2, 2023) for "Electronic Computer Manufacturing" (NAICS 334111). The emission factor used is 0.112 kgCO2e per 2021 USD (purchaser price, including margins). Data source: US EPA Supply Chain GHG Emission Factors v1.2 (https://www.epa.gov/system/files/documents/2023-04/SupplyChainGHGEmissionFactors_v1.2_NAICS_CO2e_USD2021.csv).</t>
  </si>
  <si>
    <t>Calculated by multiplying the product's weight of 5.7 kg (as specified in the HP 200 Pro G4 22 All-in-One PC technical specifications for the unit with a basic stand) by the activity-based emission factor for "Material use: Electrical items - IT" (primary material production). The emission factor used is 24,865.48 kgCO2e per tonne (equivalent to 24.86548 kgCO2e/kg). Data source: UK Department for Energy Security and Net Zero (DESNZ) / DEFRA Greenhouse Gas Reporting Conversion Factors 2024 (https://www.gov.uk/government/publications/greenhouse-gas-reporting-conversion-factors-2024).</t>
  </si>
  <si>
    <t>Apple Mac Pro</t>
  </si>
  <si>
    <t>Calculated by multiplying the retail price of the base model Apple Mac Pro ($6,999) by the US EPA (USEEIO) spend-based emission factor for "Computer and peripheral equipment manufacturing" (NAICS 33411), which is 0.488 kgCO2e/USD. Source: US EPA Supply Chain Greenhouse Gas Emission Factors v1.1.1 (via Climatiq).</t>
  </si>
  <si>
    <t>Calculated by multiplying the product weight of the Apple Mac Pro tower (16.86 kg) by the activity-based emission factor for "IT equipment" manufacturing of 24.865 kgCO2e/kg. Source: UK Department for Environment, Food &amp; Rural Affairs (DEFRA) / BEIS 2021-2023 Greenhouse Gas Reporting Conversion Factors for material use (IT electrical items).</t>
  </si>
  <si>
    <t>HP Chromebook Enterprise 14 G7 (North America)</t>
  </si>
  <si>
    <t>Calculated by multiplying the product price ($475.00, sourced from SHI.com for the Enterprise configuration) by the US EPA Supply Chain Greenhouse Gas Emission Factor for "Electronic Computer Manufacturing" (NAICS 334111), which is 0.112 kgCO2e per 2021 USD (sourced from the US EPA Supply Chain Greenhouse Gas Emission Factors v1.2, released in April 2023: https://catalog.data.gov/dataset/supply-chain-greenhouse-gas-emission-factors-v1-2-by-naics-6).</t>
  </si>
  <si>
    <t>Calculated by multiplying the product quantity (1 unit) by an activity-based emission factor of 331 kgCO2e per unit for laptop production. This factor represents the average cradle-to-gate (manufacturing and supply chain) carbon footprint of a new laptop based on research of 230 specific laptop models (sourced from Circular Computing/Gocirclewise research: https://gocirclewise.com/blog/carbon-footprint-laptop/). The product weight of 1.54 kg (sourced from HP QuickSpecs) corresponds to an intensity of approximately 214.9 kgCO2e/kg.</t>
  </si>
  <si>
    <t>HP DeskJet 2130 (North America)</t>
  </si>
  <si>
    <t>Spend-based calculation using the US EPA Supply Chain Greenhouse Gas Emission Factor for NAICS code 334118 (Computer Terminal and Other Computer Peripheral Equipment Manufacturing). The factor value is 0.196 kgCO2e per USD (purchaser price). Calculation: $49.99 (retail price) x 0.196 kgCO2e/USD = 9.80 kgCO2e. Source: US EPA Supply Chain Greenhouse Gas Emission Factors v1.2 (https://www.epa.gov/maintaining-supply-chain-ghg-emission-factors)</t>
  </si>
  <si>
    <t>Activity-based calculation using a unit-based emission factor for the cradle-to-gate (embodied) carbon footprint of an inkjet printer. A standard factor of 75 kgCO2e per unit for a "typical inkjet printer" is applied. This factor accounts for the raw material extraction and manufacturing phases. Source: Greenclick data as cited in the Kleen Strike (UK) Limited CDP Climate Change Information Request (https://www.kleenstrike.co.uk/carbon-footprint/)</t>
  </si>
  <si>
    <t>Amazon Fire TV 75" Omni QLED Series (2nd Gen)</t>
  </si>
  <si>
    <t>Calculated by multiplying the product's retail price ($1,099.99) by the US EPA spend-based emission factor for "Radio and television broadcasting and wireless communications equipment manufacturing" (0.215 kgCO2e/USD). Source: EPA Supply Chain Greenhouse Gas Emission Factors v1.2 (released 2023) via Climatiq (https://www.climatiq.io/data/factor/electronics-type_radio_and_television_broadcasting_and_wireless_communications_equipment).</t>
  </si>
  <si>
    <t>Calculated by multiplying the product's weight (28.8 kg) by an activity-based emission factor for television manufacturing (31 kgCO2e per kg of product). Source: "Virtual production: A study on its environmental impact" (2021) which utilizes television manufacturing data from the French Agency for Ecological Transition (ADEME) carbon database (https://adrbi.ro/media/2513/virtual-production-environmental-impact-study.pdf).</t>
  </si>
  <si>
    <t>HP ENVY 4520 (Paper Included)</t>
  </si>
  <si>
    <t>The footprint was calculated by multiplying the retail price of the printer and the included paper by spend-based emission factors from the US EPA Supply Chain Greenhouse Gas Emission Factors (v1.1.1). The HP ENVY 4520 (MSRP $99.99) was categorized under "Computer terminals and other computer peripheral equipment" (0.196 kgCO2e/USD) and one ream of included paper (estimated $10.00) was categorized under "Stationery" (0.494 kgCO2e/USD). Total = (99.99 * 0.196) + (10.00 * 0.494) = 24.54 kgCO2e. Source: https://www.climatiq.io/data/activity/electronics-type_computer_terminals_other_computer_peripheral_equipment</t>
  </si>
  <si>
    <t>The footprint was calculated based on the weight of the printer (5.41 kg) and a standard ream of paper (2.5 kg). An industry-standard embodied carbon value of 75 kgCO2e was used for the inkjet printer unit (Source: Kleen Strike/Greenclick industry benchmark, https://www.kleenstrike.co.uk/). The paper component was calculated using an activity-based emission factor of 1.2 kgCO2e/kg for virgin A4 office paper (Source: https://www.ezeep.com/co2-neutral-printing/). Total = 75 + (2.5 * 1.2) = 78.00 kgCO2e.</t>
  </si>
  <si>
    <t>HP HC241 Display (Asia Pacific)</t>
  </si>
  <si>
    <t>Calculated by multiplying the estimated retail price of $649 USD (based on market listings from B&amp;H and SHI for the HC241 model) by the spend-based emission factor for "Computers" from the US EPA Supply Chain Greenhouse Gas Emission Factors v1.2 (2023), which is 0.488 kgCO2e per USD.</t>
  </si>
  <si>
    <t>Calculated using an activity-based emission factor for the manufacturing of LCD monitors derived from the ADEME (French Agency for Ecological Transition) Base Empreinte database. The factor of 40 kgCO2e/kg represents the high-intensity production of flat-panel displays (including the LCD module and electronics). The weight used is 6.87 kg, which is the product's net weight including the stand as specified in the HP technical documentation.</t>
  </si>
  <si>
    <t>Apple Mac Studio (M4 Max, 512GB SSD)</t>
  </si>
  <si>
    <t>The cradle-to-gate carbon footprint was calculated by multiplying the retail price of $1,999.00 by the spend-based emissions factor of 0.112 kgCO2e/USD. This factor is sourced from the US EPA Supply Chain Greenhouse Gas Emission Factors v1.3 (released July 2024), specifically for the category "Electronic Computer Manufacturing" (NAICS 334111), which includes workstations and desktop computers. Data source: https://catalog.data.gov/dataset/supply-chain-greenhouse-gas-emission-factors-v1-3-by-naics-6</t>
  </si>
  <si>
    <t>The cradle-to-gate carbon footprint was calculated by multiplying the product weight of 2.74 kg (6.1 lbs) by an activity-based emissions factor of 55 kgCO2e/kg. This factor represents the carbon intensity of high-end IT hardware manufacturing (specifically high-density PCs/laptops), derived from independent Life Cycle Assessment (LCA) data comparisons of high-performance computing equipment. Data source: https://maxeymoverley.com/carbon-footprint-of-electronics/ (citing industry-standard LCA data for high-end computing devices).</t>
  </si>
  <si>
    <t>AirPods Pro 3</t>
  </si>
  <si>
    <t>Price of $249 multiplied by the US EPA spend-based emission factor for "Radio and television broadcasting and wireless communications equipment manufacturing" (0.215 kgCO2e/USD). Source: US EPA Supply Chain Greenhouse Gas Emission Factors v1.2 (2023)</t>
  </si>
  <si>
    <t>Total product weight of 0.05509 kg (Buds: 11.1g, Case: 43.99g) multiplied by the UK Government (DEFRA/BEIS) activity-based emission factor for "Electronic devices" (24.865 kgCO2e/kg). Source: UK Government Greenhouse Gas Reporting Conversion Factors (2021)</t>
  </si>
  <si>
    <t>Amazon Fire TV 50" 4-Series (3rd Gen)</t>
  </si>
  <si>
    <t>The cradle-to-gate carbon footprint was calculated by multiplying the product's MSRP of $449.99 by the spend-based emission factor for "Audio and video equipment manufacturing" (NAICS 334300). The emission factor used is 0.215 kgCO2e per USD, derived from the US EPA Supply Chain Greenhouse Gas Emission Factors v1.2 (2019 data, released in 2023). Data source: https://www.epa.gov/maintaining-supply-chain-ghg-emission-factors</t>
  </si>
  <si>
    <t>The cradle-to-gate carbon footprint was calculated by multiplying the product's weight of 9.34 kg (20.6 lbs, excluding stand) by an activity-based emission factor for LED television manufacturing. The emission factor used is 15.4 kgCO2e/kg, which is a standard industry benchmark for LED-LCD televisions based on life cycle assessment (LCA) data (e.g., a baseline 32-inch LED TV at ~100 kgCO2e for 6.5 kg). Weight data source: Best Buy/Amazon technical specifications. Emission factor source: "Life Cycle Assessment Data for TV-LED," US EPA/SimaPro/Ecoinvent 2012/2016.</t>
  </si>
  <si>
    <t>Samsung Neo QLED 75QN90C</t>
  </si>
  <si>
    <t>Calculated by multiplying the current retail price of $1,799.99 by the spend-based emissions factor for "Audio and video equipment manufacturing" (NAICS 3343) from the US EPA Supply Chain Greenhouse Gas Emission Factors v1.2, which is 0.2584 kgCO2e per USD (https://www.epa.gov/topo/supply-chain-greenhouse-gas-emission-factors-us-industries-and-commodities).</t>
  </si>
  <si>
    <t>Calculated by multiplying the product weight (without stand) of 34.1 kg by the activity-based emissions factor for "Average IT equipment" from the UK Government GHG Conversion Factors for Company Reporting (2021), which is 24.865 kgCO2e per kg (https://www.gov.uk/government/publications/greenhouse-gas-reporting-conversion-factors-2021).</t>
  </si>
  <si>
    <t>Amazon Fire TV 65" Omni QLED Series (2nd Gen)</t>
  </si>
  <si>
    <t>Calculated by multiplying the product's MSRP of $799.99 (sourced from Best Buy and PCMag) by a spend-based emissions factor of 0.215 kgCO2e/USD. The emissions factor is for "Radio and television broadcasting and wireless communications equipment manufacturing" (NAICS 334220) from the EPA Supply Chain Greenhouse Gas Emission Factors v1.2, retrieved via Climatiq (https://www.climatiq.io/explorer/factors/electronics-type_radio_and_television_broadcasting_and_wireless_communications_equipment).</t>
  </si>
  <si>
    <t>Calculated by multiplying the product's weight of 20.59 kg (45.4 lbs without stand, sourced from Best Buy product specifications) by an activity-based emissions factor of 31 kgCO2e/kg. This factor represents the cradle-to-gate impact for display-centric equipment (specifically 40-49" televisions as a baseline for the category), sourced from the study "Virtual production: A study on its environmental impact" (https://adrbi.ro/media/2513/virtual-production-a-study-on-its-environmental-impact.pdf).</t>
  </si>
  <si>
    <t>Apple iPad (A16) 512GB</t>
  </si>
  <si>
    <t>The cradle-to-gate carbon footprint was calculated by multiplying the retail price of $649.00 (based on 2025 MSRP for the 512GB model) by the USEEIO (United States Environmentally-Extended Input-Output) emission factor for "Computers" (0.488 kgCO2e/USD). Data source: EPA Supply Chain Greenhouse Gas Emission Factors v1.1 via Climatiq (https://www.climatiq.io/data/factor/electronics-type_computers).</t>
  </si>
  <si>
    <t>The cradle-to-gate carbon footprint was calculated by multiplying the product weight of 0.477 kg (1.05 lbs) by an activity-based emission factor of 166.53 kgCO2e/kg. This factor was derived from the manufacturing-only portion (80% of total lifecycle) of the Lenovo Tab P11 Product Carbon Footprint (PCF) Information Sheet (102 kgCO2e total for a 0.49 kg device), which utilizes the PAIA (Product Attribute to Impact Algorithm) methodology. Data source: Lenovo Product Carbon Footprint (PCF) Information Sheet (2020) (https://static.lenovo.com/ww/docs/regulatory/compliance/pcf/Lenovo_Tab_P11_PCF.pdf).</t>
  </si>
  <si>
    <t>Amazon Fire TV 55" Omni QLED Series (2nd Gen)</t>
  </si>
  <si>
    <t>Calculated by multiplying the retail price ($589.99) by the US EPA Supply Chain Greenhouse Gas Emission Factor (v1.2) for "Audio and video equipment manufacturing" (NAICS 334310), which is valued at 0.215 kgCO2e per USD. Source: https://www.epa.gov/system/files/documents/2023-03/2023_ghg_emission_factors_hub.pdf</t>
  </si>
  <si>
    <t>Calculated based on the average cradle-to-gate production emissions for a television as reported in the UN Trade and Development Digital Economy Report 2024 and Statista. The report estimates total manufacturing emissions (materials and production) for a television at approximately 302 kgCO2e (derived from an 897 kgCO2e total lifecycle minus a 595 kgCO2e use phase). Source: https://www.statista.com/chart/32731/estimated-life-cycle-greenhouse-gas-emissions-of-electronic-devices/</t>
  </si>
  <si>
    <t>Apple iMac (two ports) 256GB</t>
  </si>
  <si>
    <t>The retail price of $1,299 was multiplied by the spend-based emission factor of 0.488 kgCO2e/USD for the "Computers" category. Source: EPA Supply Chain Greenhouse Gas Emission Factors v1.2 (2023), derived from the USEEIO model. https://www.epa.gov/system/files/documents/2024-06/ghg-emission-factors-hub-june-2024.pdf</t>
  </si>
  <si>
    <t>The calculation uses an activity-based emission factor for a single "Desktop PC" unit, which is estimated at 800 kgCO2e (the midpoint of the 600–1,000 kgCO2e range for embodied emissions of a desktop computer system). Source: Quantum Lifecycle (2025) "Calculating the Carbon Footprint of Your IT Equipment." https://quantumlifecycle.com/blog/calculating-the-carbon-footprint-of-your-it-equipment/</t>
  </si>
  <si>
    <t>Apple Pro Display XDR with Pro Stand</t>
  </si>
  <si>
    <t>Calculated by multiplying the total product price of $5,998 ($4,999 for the Pro Display XDR and $999 for the Pro Stand) by the spend-based emission factor for "Computer terminals and other computer peripheral equipment" of 0.196 kgCO2e/USD. Data Source: US EPA Supply Chain Greenhouse Gas Emission Factors (USEEIO v1.1) via Climatiq.</t>
  </si>
  <si>
    <t>Calculated by multiplying the total product weight of 11.78 kg (7.48 kg for the display and 4.3 kg for the stand) by a cradle-to-gate activity-based emission factor for professional LCD monitors of 66.15 kgCO2e/kg. This factor is derived from the PAIA (Product Attribute to Impact Algorithm) methodology, which isolates the materials and manufacturing phases (approx. 40% of total lifecycle emissions) for high-density electronic displays. Data Source: PAIA / MIT Materials System Laboratory and Dell Product Carbon Footprint reports.</t>
  </si>
  <si>
    <t>Samsung Galaxy S25</t>
  </si>
  <si>
    <t>Spend-based calculation using the US EPA Supply Chain Greenhouse Gas Emission Factors v1.3 (2024). The emission factor for "Telephone apparatus manufacturing" (NAICS 334210/334220) is 0.096 kgCO2e per USD (at 2022 prices). Calculation: $799.99 (retail price) * 0.096 kgCO2e/USD. Source: https://www.climatiq.io/data/factor/electronics-type_telephones</t>
  </si>
  <si>
    <t>Activity-based calculation using industry-average emissions for smartphone manufacturing and shipping. According to Deloitte Global (2022), the manufacturing, raw material extraction, and shipping of a new smartphone account for 95% of its first-year carbon footprint of 85 kgCO2e. Calculation: 85 kgCO2e * 0.95. Source: https://www2.deloitte.com/xe/en/insights/industry/technology/technology-media-and-telecom-predictions/2022/environmental-impact-smartphones.html</t>
  </si>
  <si>
    <t>Apple MacBook Pro 14-inch with M4 Pro (512GB)</t>
  </si>
  <si>
    <t>Calculated by multiplying the retail price of the product ($1,999.00) by the spend-based emissions factor for "Electronic Computer Manufacturing" (NAICS 334111) from the US EPA Supply Chain Greenhouse Gas Emission Factors v1.3, which is 0.112 kgCO2e per USD (purchaser price). Source: US EPA Supply Chain GHG Emission Factors (https://www.epa.gov/maintaining-and-reporting-greenhouse-gas-emissions/supply-chain-emission-factors)</t>
  </si>
  <si>
    <t>Calculated using the activity-based emission factor for the manufacturing of a "Laptop" (Ordinateur portable) from the ADEME (French Agency for Ecological Transition) Base Empreinte database, which specifies 156 kgCO2e per unit for the cradle-to-gate (production) phase. Source: ADEME Base Empreinte (https://base-empreinte.ademe.fr/)</t>
  </si>
  <si>
    <t>Apple iPhone 17 512GB</t>
  </si>
  <si>
    <t>Calculated by multiplying the estimated retail price of $999 for the iPhone 17 512GB by the spend-based emission factor for "Broadcast and wireless communications equipment" (NAICS 334220), which is 182.89 kgCO2e per $1,000 (0.18289 kgCO2e/$). Data source: US EPA Supply Chain Greenhouse Gas Emission Factors v1.3 (released July 2024), available at https://catalog.data.gov/dataset/supply-chain-greenhouse-gas-emission-factors-v1-3-by-naics-6.</t>
  </si>
  <si>
    <t>Calculated using a unit-based activity factor of 85 kgCO2e per smartphone unit. This factor represents the average cradle-to-gate impact (raw material extraction, component manufacturing, and final assembly) for a high-end smartphone as established in the ecoinvent v3.10 database and industry benchmarks. Data source: ecoinvent v3.10 (2023) "Consumer electronics - mobile device - smartphone" and Deloitte Global "Making smartphones sustainable: Live long and greener" (2022) available at https://www2.deloitte.com/xe/en/insights/industry/technology/technology-media-and-telecom-predictions/2022/environmental-impact-smartphones.html.</t>
  </si>
  <si>
    <t>Apple MacBook Air 15-inch with M4 (512GB SSD)</t>
  </si>
  <si>
    <t>The cradle-to-gate carbon footprint was calculated by multiplying the product's MSRP ($1,399 for the 512GB SSD model) by the spend-based emission factor for "Electronic Computer Manufacturing" (NAICS code 334111). The emission factor used is 0.112 kgCO2e per USD (2021 purchaser price, including margins), sourced from the U.S. EPA Supply Chain Greenhouse Gas Emission Factors v1.3 (released July 2024). Source: https://www.epa.gov/maintaining-supply-chain-emission-factors-and-useeio-models</t>
  </si>
  <si>
    <t>The cradle-to-gate carbon footprint was calculated using an activity-based emission factor for a laptop computer. The factor used is 172 kgCO2e per item, representing the embodied carbon (raw material acquisition and manufacturing) of a typical laptop, sourced from the Ecoinvent 3.8 database as cited in the Energy Changes 2024 Corporate Carbon Footprint report. Source: https://energy-changes.com/wp-content/uploads/2024/09/Corporate-Carbon-Footprint-2024.pdf</t>
  </si>
  <si>
    <t>Ring Wired Doorbell Plus (Plug In - 2nd Gen)</t>
  </si>
  <si>
    <t>Spend-based calculation using the US EPA Supply Chain Greenhouse Gas Emission Factor (v1.3) for "Other communications equipment manufacturing" (NAICS 334290), which is 0.35152 kgCO2e per USD. This factor was applied to the product's retail price of $179.99. Data source: US EPA Supply Chain Greenhouse Gas Emission Factors (https://catalog.data.gov/dataset/supply-chain-greenhouse-gas-emission-factors-v1-2-by-naics-6).</t>
  </si>
  <si>
    <t>Activity-based calculation using a cradle-to-gate emission factor of 68.1 kgCO2e per kg, derived from life cycle assessment (LCA) data for smart security cameras and signaling equipment. This factor was applied to the total product weight of 0.347 kg, which includes the doorbell unit (0.22 kg) and the required plug-in power adapter (0.127 kg). Data source: "LCA of a Network Camera" Swedish MSc Thesis/Axis Communications (https://www.diva-portal.org/smash/get/diva2:1115160/FULLTEXT01.pdf).</t>
  </si>
  <si>
    <t>Apple iPhone Air (256GB)</t>
  </si>
  <si>
    <t>Calculated by multiplying the retail price of $999 by a spend-based emission factor of 0.134 kgCO2e per USD. This factor is derived from the US EPA Supply Chain Greenhouse Gas Emission Factors v1.3 (2024) for the category "Broadcast and wireless communications equipment" (NAICS 334220), which accounts for the full supply chain emissions of the product including manufacturing and upstream activities. Source: https://catalog.data.gov/dataset/supply-chain-greenhouse-gas-emission-factors-v1-3-by-naics-6</t>
  </si>
  <si>
    <t>Calculated using an activity-based sum of cradle-to-gate component emissions: 45 kg CO2e for integrated circuits (A19 Pro 3nm SoC, 256GB NVMe, and modem), 5 kg for the 6.5" OLED display, 3 kg for the 3149 mAh battery, 2 kg for the Grade 5 titanium frame, 4 kg for other materials (glass, copper, gold), and 12 kg for final assembly and manufacturing energy. Factors are based on independent semiconductor node emission analysis and smartphone manufacturing impact studies. Sources: https://www.techinsights.com/blog/global-semiconductor-carbon-emissions-forecast-2025-2030; https://www2.deloitte.com/xe/en/insights/industry/technology/technology-media-and-telecom-predictions/2022/sustainable-smartphones.html</t>
  </si>
  <si>
    <t>Amazon Echo Show 11 (2025 Release)</t>
  </si>
  <si>
    <t>Calculated by multiplying the retail price ($219.99) by the US EPA Supply Chain GHG Emission Factor for "Audio and Video Equipment Manufacturing" (NAICS 334300), which is 0.124 kgCO2e per 2021 USD (purchaser price). Source: EPA Supply Chain Greenhouse Gas Emission Factors v1.1, https://www.epa.gov/main-report-supply-chain-greenhouse-gas-emission-factors-v11</t>
  </si>
  <si>
    <t>Calculated by multiplying the product weight (1.302 kg) by an activity-based emission factor for smart displays/tablets. The factor used is 23.5 kgCO2e/kg, representing the average cradle-to-gate manufacturing intensity for touch-screen consumer electronics. Source: ADEME Base Empreinte (French Agency for Ecological Transition) - "Tablette tactile", https://base-empreinte.ademe.fr/</t>
  </si>
  <si>
    <t>Samsung Galaxy Z Fold7</t>
  </si>
  <si>
    <t>Calculated by multiplying the estimated retail price of the Samsung Galaxy Z Fold7 (£1,799 for the 256GB base model) by the 2025 DEFRA/BEIS spend-based emission factor for "Computer, electronic and optical products" (0.507436829482 kgCO2e per GBP). Data source: UK Department for Environment, Food &amp; Rural Affairs (DEFRA) / BEIS "UK and England's carbon footprint to 2022" dataset, released in 2025 (https://www.gov.uk/government/statistics/uk-and-englands-carbon-footprint).</t>
  </si>
  <si>
    <t>Calculated using a per-unit activity-based emission factor for high-end smartphone manufacturing. Research from the Fraunhofer Institute, Deloitte, and academic studies (e.g., ResearchGate) estimates the average cradle-to-gate (production phase) carbon footprint of a high-performance smartphone at approximately 70 kgCO2e. This factor accounts for the extraction of raw materials (lithium, cobalt, gold), semiconductor fabrication, and assembly of complex components like the 8-inch foldable AMOLED display and advanced camera systems. Data source: "Typical carbon footprint generated over a smartphone lifetime," ResearchGate/Deloitte Global (https://www.researchgate.net/figure/Typical-carbon-footprint-in-kg-CO2-equivalent-generated-over-a-smartphone-lifetime_fig1_354247594).</t>
  </si>
  <si>
    <t>Kindle Scribe Colorsoft 64GB (1st Gen, 2025 Release)</t>
  </si>
  <si>
    <t>Calculated by multiplying the retail price of the product ($679.99) by the spend-based emissions factor for "Electronic computer manufacturing" (NAICS 334111) from the United States Environmentally-Extended Input-Output (USEEIO) v1.1 database, which is 0.228 kgCO2e per USD. Price source: Tom's Guide and Notebookcheck (2025 Release).</t>
  </si>
  <si>
    <t>Calculated using an activity-based material breakdown for a 400g e-reader: 11-inch E Ink Colorsoft (Kaleido 3) display module (estimated 12.0 kgCO2e based on area-scaling of E Ink Holdings' verified 3.30 kgCO2e factor for 6.8-inch modules), 50g Printed Circuit Board Assembly (estimated 12.0 kgCO2e using a factor of 240 kgCO2e/kg for high-complexity electronics), 55g Lithium-ion battery (0.6 kgCO2e at 11 kgCO2e/kg), 150g recycled aluminum housing (0.4 kgCO2e at 2.5 kgCO2e/kg), and 45g miscellaneous plastics/glass/packaging (~2.0 kgCO2e). A 30% overhead was added for manufacturing energy (assembly) and cradle-to-gate transport. Material data sources: E Ink Holdings, ResearchGate, and Amazon Sustainability specifications.</t>
  </si>
  <si>
    <t>Samsung ViewFinity S32D80*E (LS32D800EAUXEN)</t>
  </si>
  <si>
    <t>The cradle-to-gate carbon footprint was calculated by multiplying the product's MSRP of $499.99 (sourced from Samsung US) by the spend-based emissions factor for "Computer, electronic and optical products" of 0.645 kgCO2e per USD. This factor is derived from the PSCI (Pharmaceutical Supply Chain Initiative) Scope 3 Greenhouse Gas Emissions Guidance (2023), which utilizes the EXIOBASE 3.8.2 EEIO database.</t>
  </si>
  <si>
    <t>The cradle-to-gate carbon footprint was calculated by multiplying the product's total package weight of 8.9 kg (sourced from the official Samsung product specifications) by an activity-based emissions factor of 40 kgCO2e per kg. This factor represents the industry average for high-complexity consumer electronics (monitors) as cited in carbon accounting frameworks like the ADEME Base Empreinte and Quantum Lifecycle IT equipment estimates (2025).</t>
  </si>
  <si>
    <t>Amazon Kindle Scribe 64GB (3rd Gen, 2025 Release)</t>
  </si>
  <si>
    <t>This calculation uses a spend-based methodology by multiplying the product's retail price ($549.00 for the 64GB model) by the US Environmental Protection Agency (EPA) Supply Chain Greenhouse Gas Emission Factor for "Computer and peripheral equipment manufacturing" (NAICS 334111). The emission factor used is 0.198 kg CO2e per USD (from the EPA Supply Chain Greenhouse Gas Emission Factors for US Industries, v1.2, 2023/2024 update).</t>
  </si>
  <si>
    <t>This calculation uses an activity-based (material-weight) methodology based on the product's weight of 0.4 kg (400g). The total is the sum of component-level emissions: 1) E-ink Display (11-inch): 8.65 kg CO2e (scaled from E Ink Holdings' BSI-verified factor of 3.30 kg CO2e for a 6.8-inch module); 2) Lithium-ion Battery (~0.06 kg): 1.08 kg CO2e (based on 18 kg CO2e/kg factor); 3) Recycled Aluminum Chassis (~0.15 kg): 0.53 kg CO2e (based on 3.5 kg CO2e/kg for recycled aluminum); 4) PCB and Electronics (~0.03 kg): 0.75 kg CO2e (based on 25 kg CO2e/kg); 5) Manufacturing &amp; Assembly: 30.00 kg CO2e (using the ADEME/GMSF 1.2 default for "Tablet" embodied manufacturing emissions). Data sources include E Ink Holdings (eink.com), EPA Supply Chain factors, and the ADEME "Numérique 2.0" dataset (2025).</t>
  </si>
  <si>
    <t>Ring Indoor Cam Plus</t>
  </si>
  <si>
    <t>Spend-based calculation using the retail price of $59.99 and the USEEIO v1.2 emission factor for "Audio and Video Equipment Manufacturing" (NAICS 334300), which is 0.124 kgCO2e per 2021 USD (Source: EPA Supply Chain Greenhouse Gas Emission Factors v1.2, https://www.epa.gov/maintaining-supply-chain-ghg-emission-factors-v12).</t>
  </si>
  <si>
    <t>Activity-based calculation using the product weight of 0.2767 kg (0.61 lbs) and the UK Government (BEIS/DEFRA) emission factor for "IT equipment" of 24.865 kgCO2e per kg (Source: UK Government GHG Conversion Factors for Company Reporting, https://www.gov.uk/government/publications/greenhouse-gas-reporting-conversion-factors-2024).</t>
  </si>
  <si>
    <t>Amazon Echo Show 8 (2025 Release)</t>
  </si>
  <si>
    <t>The cradle-to-gate carbon footprint was calculated by multiplying the retail price ($179.99) by a spend-based emission factor of 0.260 kgCO2e/USD. This emission factor is derived from the "Electronic Computer Manufacturing" category (NAICS 334111) as provided in the IAEG (International Aerospace Environmental Group) and US EPA Supply Chain Greenhouse Gas Emission Factors datasets (e.g., v1.3 released in 2024). Source: [EPA Supply Chain GHG Emission Factors v1.3](https://catalog.data.gov/dataset/supply-chain-greenhouse-gas-emission-factors-v1-3-by-naics-6) and [IAEG GHG Reporting Guidance](https://www.iaeg.com/).</t>
  </si>
  <si>
    <t>The cradle-to-gate carbon footprint was calculated by multiplying the product weight (approximately 1.049 kg or 37 oz) by an activity-based emission factor for electronic devices. The factor used is 24.865 kgCO2e/kg, which is a standard average carbon intensity for electronic (IT) devices calculated by the UK Government (DEFRA/BEIS) for lifecycle assessments of consumer electronics. Source: [UK Government GHG Conversion Factors for Company Reporting](https://www.gov.uk/government/collections/government-conversion-factors-for-company-reporting) and [Maxey Moverley Carbon Footprint of Electronics report](https://www.maxeymoverley.com/).</t>
  </si>
  <si>
    <t>HP 11 inch Tablet PC (North America)</t>
  </si>
  <si>
    <t>Calculated by multiplying the product's MSRP of $599.99 by the EPA spend-based emission factor for "Computers" (NAICS 334111), which is 0.488 kgCO2e per USD. Source: EPA Supply Chain Greenhouse Gas Emission Factors for US Industries and Commodities (2020) - https://www.epa.gov/sites/default/files/2020-07/documents/supply_chain_ghg_emission_factors_0.pdf</t>
  </si>
  <si>
    <t>Calculated using the product's total weight of 0.903 kg (1.45 lbs for the tablet and 0.54 lbs for the detachable keyboard) and an activity-based emission factor of 100 kgCO2e per kg for tablet devices. This factor is derived from industry-average embodied emissions for tablets, which range from 70 to 110 kgCO2e per unit. Source: Quantum Lifecycle "Calculating the Carbon Footprint of Your IT Equipment" (2025) - https://quantumlifecycle.com/blog/calculating-the-carbon-footprint-of-your-it-equipment/</t>
  </si>
  <si>
    <t>Apple Watch Series 11, Titanium Case with Sport Loop</t>
  </si>
  <si>
    <t>Calculated by multiplying the retail price of $699 (starting price for Apple Watch Series 11 Titanium) by a spend-based emissions factor of 0.258 kgCO2e/$ for "Electronic Computer Manufacturing" (NAICS 334111) as defined in the US EPA Supply Chain Greenhouse Gas Emission Factors v1.3 (2024 update). Source: https://catalog.data.gov/dataset/supply-chain-greenhouse-gas-emission-factors-v1-3-by-naics-6</t>
  </si>
  <si>
    <t>Calculated by multiplying the total product weight of 53.1g (43.1g for the 46mm Titanium Case and approximately 10g for the Sport Loop) by an activity-based emissions factor of 850 kgCO2e/kg for high-complexity wearable electronics. This factor accounts for the high-intensity manufacturing of semiconductors, sapphire crystal, and titanium processing, based on lifecycle assessment data from the Oeko-Institut and Ecoinvent v3.8. Source: https://www.oeko.de/en/publications/p-details/the-carbon-footprint-of-our-digital-lifestyles</t>
  </si>
  <si>
    <t>Apple Watch Series 11, Aluminum Case with Sport Loop</t>
  </si>
  <si>
    <t>Calculated by multiplying the product's retail price ($399.00 for the 42mm Aluminum model) by the EPA USEEIO spend-based emission factor for the category "Watches/clocks and other measuring and controlling devices" (0.193 kgCO2e/USD). Source: EPA Supply Chain GHG Emission Factors v1.2 via Climatiq (https://www.climatiq.io/data/activity/electronics-type_watches_clocks_other_measuring_controlling_devices)</t>
  </si>
  <si>
    <t>Calculated by multiplying the total product weight (0.0413 kg) by the UK Government (DEFRA) activity-based emission factor for "Electronic devices" (24.865 kgCO2e/kg). The total weight is derived from the Apple Watch Series 11 42mm aluminum case (30.3g) and the Sport Loop band (approx. 11g). Source: UK Department for Environment, Food &amp; Rural Affairs (DEFRA) Greenhouse Gas Reporting Conversion Factors (https://www.gov.uk/government/publications/greenhouse-gas-reporting-conversion-factors-2021)</t>
  </si>
  <si>
    <t>Apple TV 4K (3rd generation) with Siri Remote (64GB)</t>
  </si>
  <si>
    <t>Calculated by multiplying the product's MSRP ($129.00) by the US EPA Supply Chain Greenhouse Gas Emission Factor for the category "Audio and video equipment manufacturing" (NAICS 334310), which is 0.215 kgCO2e per USD (purchaser price, 2021 USD). Source: US EPA Supply Chain Greenhouse Gas Emission Factors v1.2 (released 2023), https://www.epa.gov/maintaining-supply-chain-ghg-emission-factors</t>
  </si>
  <si>
    <t>Calculated using a per-unit activity-based emission factor for a "Décodeur / Box TV" (Set-top box), which provides a standard cradle-to-gate (production phase) value of 60 kgCO2e per unit. Source: ADEME (French Agency for Ecological Transition) Base Empreinte database, https://base-empreinte.ademe.fr/ (referenced via French government environmental impact studies for digital devices).</t>
  </si>
  <si>
    <t>Apple iPad Air 13-inch (M3) 128GB</t>
  </si>
  <si>
    <t>Calculated by multiplying the retail price of the product ($799.00) by the spend-based emission factor of 0.282 kgCO2e/USD. This factor is the mean supply chain emission intensity for commodities in the "Computer and Electronic Products" sector, derived from the U.S. EPA Supply Chain Greenhouse Gas Emission Factors v1.3 (released July 2024), which uses 2022 GHG data and 2017 benchmark economic models. (Source: https://catalog.data.gov/dataset/supply-chain-greenhouse-gas-emission-factors-v1-3-by-naics-6)</t>
  </si>
  <si>
    <t>Calculated using a standard activity-based emission factor for a "Tablet Computer" (cradle-to-gate). This value is based on the generic lifecycle assessment (LCA) data for touchscreen tablets provided by the French Agency for Ecological Transition (ADEME) in the "Base Empreinte" database, which estimates the average manufacturing and materials impact for this product category as 150.0 kgCO2e per unit. (Source: https://base-empreinte.ademe.fr/donnees/get-donnees)</t>
  </si>
  <si>
    <t>Apple iPad Air 11-inch (M3) 512GB</t>
  </si>
  <si>
    <t>Calculated using the US EPA Supply Chain Greenhouse Gas Emission Factors (USEEIO v1.1.1) for the "Electronic computer manufacturing" sector (NAICS 334111). The base emission factor is 0.488 kgCO2e per 2018 USD (purchaser price with margins). Adjusting for 24.43% inflation from 2018 to 2024 results in an effective factor of 0.393 kgCO2e per 2024 USD. Applied to the product MSRP of $899.00 ($899 * 0.393). Data source: https://www.epa.gov/sites/default/files/2020-07/documents/us_ghg_supply_chain_emission_factors_v1.1.1.xlsx</t>
  </si>
  <si>
    <t>Calculated using activity-based factors from the Product Attribute to Impact Algorithm (PAIA), a common industry-standard LCA methodology for electronics. The calculation utilizes a base embodied carbon factor for an 11-inch tablet (approx. 100 kgCO2e for assembly, display, and PCB) plus a storage-specific activity factor for NAND Flash memory of 0.40 kgCO2e per GB. Calculation: 100 kgCO2e + (512 GB * 0.40 kgCO2e/GB). Data source: PAIA Consortium / MIT Materials Systems Laboratory (https://msl.mit.edu/projects/paia/main.html) as cited in various ICT life cycle assessment studies.</t>
  </si>
  <si>
    <t>average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</si>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</sst>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5">
    <xf numFmtId="0" fontId="0" fillId="0" borderId="0" xfId="0"/>
    <xf numFmtId="0" fontId="1" fillId="0" borderId="1" xfId="0" applyFont="1" applyBorder="1" applyAlignment="1">
      <alignment horizontal="center" vertical="top"/>
    </xf>
    <xf numFmtId="9" fontId="1" fillId="0" borderId="1" xfId="1" applyFont="1" applyBorder="1" applyAlignment="1">
      <alignment horizontal="center" vertical="top"/>
    </xf>
    <xf numFmtId="9" fontId="0" fillId="0" borderId="0" xfId="1" applyFont="1"/>
    <xf numFmtId="9" fontId="0" fillId="0" borderId="0" xfId="0" applyNumberFormat="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tabSelected="1" workbookViewId="0">
      <selection activeCell="B2" sqref="B2"/>
    </sheetView>
  </sheetViews>
  <sheetFormatPr baseColWidth="10" defaultColWidth="8.83203125" defaultRowHeight="15" x14ac:dyDescent="0.2"/>
  <cols>
    <col min="13" max="13" width="8.83203125" style="3"/>
    <col min="17" max="17" width="8.83203125" style="3"/>
  </cols>
  <sheetData>
    <row r="1" spans="1:18" x14ac:dyDescent="0.2">
      <c r="A1" s="1" t="s">
        <v>0</v>
      </c>
      <c r="B1" s="1" t="s">
        <v>248</v>
      </c>
      <c r="C1" s="1" t="s">
        <v>1</v>
      </c>
      <c r="D1" s="1" t="s">
        <v>2</v>
      </c>
      <c r="E1" s="1" t="s">
        <v>247</v>
      </c>
      <c r="F1" s="1" t="s">
        <v>3</v>
      </c>
      <c r="G1" s="1" t="s">
        <v>4</v>
      </c>
      <c r="H1" s="1" t="s">
        <v>5</v>
      </c>
      <c r="I1" s="1" t="s">
        <v>6</v>
      </c>
      <c r="J1" s="1" t="s">
        <v>7</v>
      </c>
      <c r="K1" s="1" t="s">
        <v>8</v>
      </c>
      <c r="L1" s="1" t="s">
        <v>9</v>
      </c>
      <c r="M1" s="2" t="s">
        <v>10</v>
      </c>
      <c r="N1" s="1" t="s">
        <v>11</v>
      </c>
      <c r="O1" s="1" t="s">
        <v>12</v>
      </c>
      <c r="P1" s="1" t="s">
        <v>13</v>
      </c>
      <c r="Q1" s="2" t="s">
        <v>14</v>
      </c>
      <c r="R1" s="1" t="s">
        <v>15</v>
      </c>
    </row>
    <row r="2" spans="1:18" x14ac:dyDescent="0.2">
      <c r="A2" t="s">
        <v>16</v>
      </c>
      <c r="C2">
        <v>390</v>
      </c>
      <c r="D2">
        <v>402</v>
      </c>
      <c r="E2">
        <f>AVERAGE(C2:D2)</f>
        <v>396</v>
      </c>
      <c r="F2">
        <v>2720</v>
      </c>
      <c r="J2">
        <v>1</v>
      </c>
      <c r="L2">
        <v>359</v>
      </c>
      <c r="M2" s="3">
        <f>ABS((E2-L2)/L2)</f>
        <v>0.10306406685236769</v>
      </c>
      <c r="N2" t="s">
        <v>17</v>
      </c>
      <c r="P2">
        <v>448</v>
      </c>
      <c r="Q2" s="3">
        <f>ABS((E2-P2)/P2)</f>
        <v>0.11607142857142858</v>
      </c>
      <c r="R2" t="s">
        <v>18</v>
      </c>
    </row>
    <row r="3" spans="1:18" x14ac:dyDescent="0.2">
      <c r="A3" t="s">
        <v>19</v>
      </c>
      <c r="C3">
        <v>1736</v>
      </c>
      <c r="D3">
        <v>1825</v>
      </c>
      <c r="E3">
        <f>AVERAGE(C3:D3)</f>
        <v>1780.5</v>
      </c>
      <c r="F3">
        <v>36787</v>
      </c>
      <c r="J3">
        <v>1</v>
      </c>
      <c r="L3">
        <v>1128</v>
      </c>
      <c r="M3" s="3">
        <f>ABS((E3-L3)/L3)</f>
        <v>0.57845744680851063</v>
      </c>
      <c r="N3" t="s">
        <v>20</v>
      </c>
      <c r="P3">
        <v>643</v>
      </c>
      <c r="Q3" s="3">
        <f t="shared" ref="Q3:Q66" si="0">ABS((E3-P3)/P3)</f>
        <v>1.7690513219284603</v>
      </c>
      <c r="R3" t="s">
        <v>21</v>
      </c>
    </row>
    <row r="4" spans="1:18" x14ac:dyDescent="0.2">
      <c r="A4" t="s">
        <v>22</v>
      </c>
      <c r="C4">
        <v>250</v>
      </c>
      <c r="D4">
        <v>266</v>
      </c>
      <c r="E4">
        <f>AVERAGE(C4:D4)</f>
        <v>258</v>
      </c>
      <c r="F4">
        <v>5054</v>
      </c>
      <c r="J4">
        <v>1</v>
      </c>
      <c r="L4">
        <v>3366.96</v>
      </c>
      <c r="M4" s="3">
        <f t="shared" ref="M4:M67" si="1">ABS((E4-L4)/L4)</f>
        <v>0.923373013044408</v>
      </c>
      <c r="N4" t="s">
        <v>23</v>
      </c>
      <c r="P4">
        <v>448</v>
      </c>
      <c r="Q4" s="3">
        <f t="shared" si="0"/>
        <v>0.42410714285714285</v>
      </c>
      <c r="R4" t="s">
        <v>24</v>
      </c>
    </row>
    <row r="5" spans="1:18" x14ac:dyDescent="0.2">
      <c r="A5" t="s">
        <v>25</v>
      </c>
      <c r="C5">
        <v>207</v>
      </c>
      <c r="D5">
        <v>219</v>
      </c>
      <c r="E5">
        <f t="shared" ref="E5:E68" si="2">AVERAGE(C5:D5)</f>
        <v>213</v>
      </c>
      <c r="F5">
        <v>1926</v>
      </c>
      <c r="J5">
        <v>1</v>
      </c>
      <c r="L5">
        <v>2697.29</v>
      </c>
      <c r="M5" s="3">
        <f t="shared" si="1"/>
        <v>0.92103185048697023</v>
      </c>
      <c r="N5" t="s">
        <v>26</v>
      </c>
      <c r="P5">
        <v>370.15</v>
      </c>
      <c r="Q5" s="3">
        <f t="shared" si="0"/>
        <v>0.42455761177900847</v>
      </c>
      <c r="R5" t="s">
        <v>27</v>
      </c>
    </row>
    <row r="6" spans="1:18" x14ac:dyDescent="0.2">
      <c r="A6" t="s">
        <v>28</v>
      </c>
      <c r="C6">
        <v>239</v>
      </c>
      <c r="D6">
        <v>253</v>
      </c>
      <c r="E6">
        <f t="shared" si="2"/>
        <v>246</v>
      </c>
      <c r="F6">
        <v>2772</v>
      </c>
      <c r="J6">
        <v>1</v>
      </c>
      <c r="L6">
        <v>17592</v>
      </c>
      <c r="M6" s="3">
        <f t="shared" si="1"/>
        <v>0.98601637107776263</v>
      </c>
      <c r="N6" t="s">
        <v>29</v>
      </c>
      <c r="P6">
        <v>265.61</v>
      </c>
      <c r="Q6" s="3">
        <f t="shared" si="0"/>
        <v>7.3830051579383354E-2</v>
      </c>
      <c r="R6" t="s">
        <v>30</v>
      </c>
    </row>
    <row r="7" spans="1:18" x14ac:dyDescent="0.2">
      <c r="A7" t="s">
        <v>31</v>
      </c>
      <c r="C7">
        <v>106</v>
      </c>
      <c r="D7">
        <v>109</v>
      </c>
      <c r="E7">
        <f t="shared" si="2"/>
        <v>107.5</v>
      </c>
      <c r="F7">
        <v>588</v>
      </c>
      <c r="J7">
        <v>1</v>
      </c>
      <c r="L7">
        <v>723.48</v>
      </c>
      <c r="M7" s="3">
        <f t="shared" si="1"/>
        <v>0.85141261679659419</v>
      </c>
      <c r="N7" t="s">
        <v>32</v>
      </c>
      <c r="P7">
        <v>80</v>
      </c>
      <c r="Q7" s="3">
        <f t="shared" si="0"/>
        <v>0.34375</v>
      </c>
      <c r="R7" t="s">
        <v>33</v>
      </c>
    </row>
    <row r="8" spans="1:18" x14ac:dyDescent="0.2">
      <c r="A8" t="s">
        <v>34</v>
      </c>
      <c r="C8">
        <v>50</v>
      </c>
      <c r="D8">
        <v>52</v>
      </c>
      <c r="E8">
        <f t="shared" si="2"/>
        <v>51</v>
      </c>
      <c r="F8">
        <v>256</v>
      </c>
      <c r="J8">
        <v>1</v>
      </c>
      <c r="L8">
        <v>139.07</v>
      </c>
      <c r="M8" s="3">
        <f t="shared" si="1"/>
        <v>0.63327820522039258</v>
      </c>
      <c r="N8" t="s">
        <v>35</v>
      </c>
      <c r="P8">
        <v>25.36</v>
      </c>
      <c r="Q8" s="3">
        <f t="shared" si="0"/>
        <v>1.0110410094637226</v>
      </c>
      <c r="R8" t="s">
        <v>36</v>
      </c>
    </row>
    <row r="9" spans="1:18" x14ac:dyDescent="0.2">
      <c r="A9" t="s">
        <v>37</v>
      </c>
      <c r="C9">
        <v>285</v>
      </c>
      <c r="D9">
        <v>301</v>
      </c>
      <c r="E9">
        <f t="shared" si="2"/>
        <v>293</v>
      </c>
      <c r="F9">
        <v>8939</v>
      </c>
      <c r="J9">
        <v>1</v>
      </c>
      <c r="L9">
        <v>27524.5</v>
      </c>
      <c r="M9" s="3">
        <f t="shared" si="1"/>
        <v>0.98935493832767174</v>
      </c>
      <c r="N9" t="s">
        <v>38</v>
      </c>
      <c r="P9">
        <v>248.1</v>
      </c>
      <c r="Q9" s="3">
        <f t="shared" si="0"/>
        <v>0.18097541313986298</v>
      </c>
      <c r="R9" t="s">
        <v>39</v>
      </c>
    </row>
    <row r="10" spans="1:18" x14ac:dyDescent="0.2">
      <c r="A10" t="s">
        <v>40</v>
      </c>
      <c r="C10">
        <v>91</v>
      </c>
      <c r="D10">
        <v>111</v>
      </c>
      <c r="E10">
        <f t="shared" si="2"/>
        <v>101</v>
      </c>
      <c r="F10">
        <v>575</v>
      </c>
      <c r="J10">
        <v>1</v>
      </c>
      <c r="L10">
        <v>555.99</v>
      </c>
      <c r="M10" s="3">
        <f t="shared" si="1"/>
        <v>0.8183420565118078</v>
      </c>
      <c r="N10" t="s">
        <v>41</v>
      </c>
      <c r="P10">
        <v>70.400000000000006</v>
      </c>
      <c r="Q10" s="3">
        <f t="shared" si="0"/>
        <v>0.43465909090909077</v>
      </c>
      <c r="R10" t="s">
        <v>42</v>
      </c>
    </row>
    <row r="11" spans="1:18" x14ac:dyDescent="0.2">
      <c r="A11" t="s">
        <v>43</v>
      </c>
      <c r="C11">
        <v>93</v>
      </c>
      <c r="D11">
        <v>98</v>
      </c>
      <c r="E11">
        <f t="shared" si="2"/>
        <v>95.5</v>
      </c>
      <c r="F11">
        <v>914</v>
      </c>
      <c r="J11">
        <v>1</v>
      </c>
      <c r="L11">
        <v>972</v>
      </c>
      <c r="M11" s="3">
        <f t="shared" si="1"/>
        <v>0.90174897119341568</v>
      </c>
      <c r="N11" t="s">
        <v>44</v>
      </c>
      <c r="P11">
        <v>129</v>
      </c>
      <c r="Q11" s="3">
        <f t="shared" si="0"/>
        <v>0.25968992248062017</v>
      </c>
      <c r="R11" t="s">
        <v>45</v>
      </c>
    </row>
    <row r="12" spans="1:18" x14ac:dyDescent="0.2">
      <c r="A12" t="s">
        <v>46</v>
      </c>
      <c r="C12">
        <v>146</v>
      </c>
      <c r="D12">
        <v>156</v>
      </c>
      <c r="E12">
        <f t="shared" si="2"/>
        <v>151</v>
      </c>
      <c r="F12">
        <v>1477</v>
      </c>
      <c r="J12">
        <v>1</v>
      </c>
      <c r="L12">
        <v>226</v>
      </c>
      <c r="M12" s="3">
        <f t="shared" si="1"/>
        <v>0.33185840707964603</v>
      </c>
      <c r="N12" t="s">
        <v>47</v>
      </c>
      <c r="P12">
        <v>264</v>
      </c>
      <c r="Q12" s="3">
        <f t="shared" si="0"/>
        <v>0.42803030303030304</v>
      </c>
      <c r="R12" t="s">
        <v>48</v>
      </c>
    </row>
    <row r="13" spans="1:18" x14ac:dyDescent="0.2">
      <c r="A13" t="s">
        <v>49</v>
      </c>
      <c r="C13">
        <v>77</v>
      </c>
      <c r="D13">
        <v>84</v>
      </c>
      <c r="E13">
        <f t="shared" si="2"/>
        <v>80.5</v>
      </c>
      <c r="F13">
        <v>157</v>
      </c>
      <c r="J13">
        <v>1</v>
      </c>
      <c r="L13">
        <v>1184.18</v>
      </c>
      <c r="M13" s="3">
        <f t="shared" si="1"/>
        <v>0.93202046986100084</v>
      </c>
      <c r="N13" t="s">
        <v>50</v>
      </c>
      <c r="P13">
        <v>63.16</v>
      </c>
      <c r="Q13" s="3">
        <f t="shared" si="0"/>
        <v>0.2745408486383788</v>
      </c>
      <c r="R13" t="s">
        <v>51</v>
      </c>
    </row>
    <row r="14" spans="1:18" x14ac:dyDescent="0.2">
      <c r="A14" t="s">
        <v>52</v>
      </c>
      <c r="C14">
        <v>480</v>
      </c>
      <c r="D14">
        <v>500</v>
      </c>
      <c r="E14">
        <f t="shared" si="2"/>
        <v>490</v>
      </c>
      <c r="F14">
        <v>892</v>
      </c>
      <c r="J14">
        <v>1</v>
      </c>
      <c r="L14">
        <v>459</v>
      </c>
      <c r="M14" s="3">
        <f t="shared" si="1"/>
        <v>6.7538126361655779E-2</v>
      </c>
      <c r="N14" t="s">
        <v>53</v>
      </c>
      <c r="P14">
        <v>696</v>
      </c>
      <c r="Q14" s="3">
        <f t="shared" si="0"/>
        <v>0.29597701149425287</v>
      </c>
      <c r="R14" t="s">
        <v>54</v>
      </c>
    </row>
    <row r="15" spans="1:18" x14ac:dyDescent="0.2">
      <c r="A15" t="s">
        <v>55</v>
      </c>
      <c r="C15">
        <v>25</v>
      </c>
      <c r="D15">
        <v>27</v>
      </c>
      <c r="E15">
        <f t="shared" si="2"/>
        <v>26</v>
      </c>
      <c r="F15">
        <v>75</v>
      </c>
      <c r="J15">
        <v>1</v>
      </c>
      <c r="L15">
        <v>21.6</v>
      </c>
      <c r="M15" s="3">
        <f t="shared" si="1"/>
        <v>0.20370370370370364</v>
      </c>
      <c r="N15" t="s">
        <v>56</v>
      </c>
      <c r="P15">
        <v>26.23</v>
      </c>
      <c r="Q15" s="3">
        <f t="shared" si="0"/>
        <v>8.7685855890202221E-3</v>
      </c>
      <c r="R15" t="s">
        <v>57</v>
      </c>
    </row>
    <row r="16" spans="1:18" x14ac:dyDescent="0.2">
      <c r="A16" t="s">
        <v>58</v>
      </c>
      <c r="C16">
        <v>25</v>
      </c>
      <c r="D16">
        <v>27</v>
      </c>
      <c r="E16">
        <f t="shared" si="2"/>
        <v>26</v>
      </c>
      <c r="F16">
        <v>76</v>
      </c>
      <c r="J16">
        <v>1</v>
      </c>
      <c r="L16">
        <v>137.72</v>
      </c>
      <c r="M16" s="3">
        <f t="shared" si="1"/>
        <v>0.81121115306418823</v>
      </c>
      <c r="N16" t="s">
        <v>59</v>
      </c>
      <c r="P16">
        <v>29.59</v>
      </c>
      <c r="Q16" s="3">
        <f t="shared" si="0"/>
        <v>0.1213247718823927</v>
      </c>
      <c r="R16" t="s">
        <v>60</v>
      </c>
    </row>
    <row r="17" spans="1:18" x14ac:dyDescent="0.2">
      <c r="A17" t="s">
        <v>61</v>
      </c>
      <c r="C17">
        <v>54</v>
      </c>
      <c r="D17">
        <v>69</v>
      </c>
      <c r="E17">
        <f t="shared" si="2"/>
        <v>61.5</v>
      </c>
      <c r="F17">
        <v>260</v>
      </c>
      <c r="J17">
        <v>1</v>
      </c>
      <c r="L17">
        <v>68</v>
      </c>
      <c r="M17" s="3">
        <f t="shared" si="1"/>
        <v>9.5588235294117641E-2</v>
      </c>
      <c r="N17" t="s">
        <v>62</v>
      </c>
      <c r="P17">
        <v>27.22</v>
      </c>
      <c r="Q17" s="3">
        <f t="shared" si="0"/>
        <v>1.2593681116825863</v>
      </c>
      <c r="R17" t="s">
        <v>63</v>
      </c>
    </row>
    <row r="18" spans="1:18" x14ac:dyDescent="0.2">
      <c r="A18" t="s">
        <v>64</v>
      </c>
      <c r="C18">
        <v>206.72</v>
      </c>
      <c r="D18">
        <v>206.72</v>
      </c>
      <c r="E18">
        <f t="shared" si="2"/>
        <v>206.72</v>
      </c>
      <c r="L18">
        <v>780.31</v>
      </c>
      <c r="M18" s="3">
        <f t="shared" si="1"/>
        <v>0.73507964783227175</v>
      </c>
      <c r="N18" t="s">
        <v>65</v>
      </c>
      <c r="P18">
        <v>156.65</v>
      </c>
      <c r="Q18" s="3">
        <f t="shared" si="0"/>
        <v>0.3196297478455154</v>
      </c>
      <c r="R18" t="s">
        <v>66</v>
      </c>
    </row>
    <row r="19" spans="1:18" x14ac:dyDescent="0.2">
      <c r="A19" t="s">
        <v>67</v>
      </c>
      <c r="C19">
        <v>57.34</v>
      </c>
      <c r="D19">
        <v>57.34</v>
      </c>
      <c r="E19">
        <f t="shared" si="2"/>
        <v>57.34</v>
      </c>
      <c r="L19">
        <v>243.51</v>
      </c>
      <c r="M19" s="3">
        <f t="shared" si="1"/>
        <v>0.76452712414274571</v>
      </c>
      <c r="N19" t="s">
        <v>68</v>
      </c>
      <c r="P19">
        <v>63.8</v>
      </c>
      <c r="Q19" s="3">
        <f t="shared" si="0"/>
        <v>0.10125391849529772</v>
      </c>
      <c r="R19" t="s">
        <v>69</v>
      </c>
    </row>
    <row r="20" spans="1:18" x14ac:dyDescent="0.2">
      <c r="A20" t="s">
        <v>70</v>
      </c>
      <c r="C20">
        <v>58.88</v>
      </c>
      <c r="D20">
        <v>58.88</v>
      </c>
      <c r="E20">
        <f t="shared" si="2"/>
        <v>58.88</v>
      </c>
      <c r="L20">
        <v>37.08</v>
      </c>
      <c r="M20" s="3">
        <f t="shared" si="1"/>
        <v>0.58791801510248132</v>
      </c>
      <c r="N20" t="s">
        <v>71</v>
      </c>
      <c r="P20">
        <v>60.72</v>
      </c>
      <c r="Q20" s="3">
        <f t="shared" si="0"/>
        <v>3.0303030303030241E-2</v>
      </c>
      <c r="R20" t="s">
        <v>72</v>
      </c>
    </row>
    <row r="21" spans="1:18" x14ac:dyDescent="0.2">
      <c r="A21" t="s">
        <v>73</v>
      </c>
      <c r="C21">
        <v>105.27</v>
      </c>
      <c r="D21">
        <v>105.27</v>
      </c>
      <c r="E21">
        <f t="shared" si="2"/>
        <v>105.27</v>
      </c>
      <c r="L21">
        <v>2244.31</v>
      </c>
      <c r="M21" s="3">
        <f t="shared" si="1"/>
        <v>0.95309471507946764</v>
      </c>
      <c r="N21" t="s">
        <v>74</v>
      </c>
      <c r="P21">
        <v>1358</v>
      </c>
      <c r="Q21" s="3">
        <f t="shared" si="0"/>
        <v>0.92248159057437407</v>
      </c>
      <c r="R21" t="s">
        <v>75</v>
      </c>
    </row>
    <row r="22" spans="1:18" x14ac:dyDescent="0.2">
      <c r="A22" t="s">
        <v>76</v>
      </c>
      <c r="C22">
        <v>4.1820000000000004</v>
      </c>
      <c r="D22">
        <v>4.1820000000000004</v>
      </c>
      <c r="E22">
        <f t="shared" si="2"/>
        <v>4.1820000000000004</v>
      </c>
      <c r="L22">
        <v>63.33</v>
      </c>
      <c r="M22" s="3">
        <f t="shared" si="1"/>
        <v>0.93396494552344855</v>
      </c>
      <c r="N22" t="s">
        <v>77</v>
      </c>
      <c r="P22">
        <v>30.16</v>
      </c>
      <c r="Q22" s="3">
        <f t="shared" si="0"/>
        <v>0.8613395225464191</v>
      </c>
      <c r="R22" t="s">
        <v>78</v>
      </c>
    </row>
    <row r="23" spans="1:18" x14ac:dyDescent="0.2">
      <c r="A23" t="s">
        <v>79</v>
      </c>
      <c r="C23">
        <v>192.51</v>
      </c>
      <c r="D23">
        <v>192.51</v>
      </c>
      <c r="E23">
        <f t="shared" si="2"/>
        <v>192.51</v>
      </c>
      <c r="L23">
        <v>1219.51</v>
      </c>
      <c r="M23" s="3">
        <f t="shared" si="1"/>
        <v>0.84214151585472852</v>
      </c>
      <c r="N23" t="s">
        <v>80</v>
      </c>
      <c r="P23">
        <v>53.21</v>
      </c>
      <c r="Q23" s="3">
        <f t="shared" si="0"/>
        <v>2.6179289607216685</v>
      </c>
      <c r="R23" t="s">
        <v>81</v>
      </c>
    </row>
    <row r="24" spans="1:18" x14ac:dyDescent="0.2">
      <c r="A24" t="s">
        <v>82</v>
      </c>
      <c r="C24">
        <v>61.1</v>
      </c>
      <c r="D24">
        <v>61.1</v>
      </c>
      <c r="E24">
        <f t="shared" si="2"/>
        <v>61.1</v>
      </c>
      <c r="L24">
        <v>70.56</v>
      </c>
      <c r="M24" s="3">
        <f t="shared" si="1"/>
        <v>0.13407029478458052</v>
      </c>
      <c r="N24" t="s">
        <v>83</v>
      </c>
      <c r="P24">
        <v>168</v>
      </c>
      <c r="Q24" s="3">
        <f t="shared" si="0"/>
        <v>0.63630952380952388</v>
      </c>
      <c r="R24" t="s">
        <v>84</v>
      </c>
    </row>
    <row r="25" spans="1:18" x14ac:dyDescent="0.2">
      <c r="A25" t="s">
        <v>85</v>
      </c>
      <c r="C25">
        <v>142.80000000000001</v>
      </c>
      <c r="D25">
        <v>142.80000000000001</v>
      </c>
      <c r="E25">
        <f t="shared" si="2"/>
        <v>142.80000000000001</v>
      </c>
      <c r="L25">
        <v>246.29</v>
      </c>
      <c r="M25" s="3">
        <f t="shared" si="1"/>
        <v>0.42019570425108604</v>
      </c>
      <c r="N25" t="s">
        <v>86</v>
      </c>
      <c r="P25">
        <v>64.02</v>
      </c>
      <c r="Q25" s="3">
        <f t="shared" si="0"/>
        <v>1.230552952202437</v>
      </c>
      <c r="R25" t="s">
        <v>87</v>
      </c>
    </row>
    <row r="26" spans="1:18" x14ac:dyDescent="0.2">
      <c r="A26" t="s">
        <v>88</v>
      </c>
      <c r="C26">
        <v>100.8</v>
      </c>
      <c r="D26">
        <v>100.8</v>
      </c>
      <c r="E26">
        <f t="shared" si="2"/>
        <v>100.8</v>
      </c>
      <c r="L26">
        <v>346.5</v>
      </c>
      <c r="M26" s="3">
        <f t="shared" si="1"/>
        <v>0.70909090909090911</v>
      </c>
      <c r="N26" t="s">
        <v>89</v>
      </c>
      <c r="P26">
        <v>104.76</v>
      </c>
      <c r="Q26" s="3">
        <f t="shared" si="0"/>
        <v>3.7800687285223442E-2</v>
      </c>
      <c r="R26" t="s">
        <v>90</v>
      </c>
    </row>
    <row r="27" spans="1:18" x14ac:dyDescent="0.2">
      <c r="A27" t="s">
        <v>91</v>
      </c>
      <c r="C27">
        <v>56.8</v>
      </c>
      <c r="D27">
        <v>56.8</v>
      </c>
      <c r="E27">
        <f t="shared" si="2"/>
        <v>56.8</v>
      </c>
      <c r="L27">
        <v>170.25</v>
      </c>
      <c r="M27" s="3">
        <f t="shared" si="1"/>
        <v>0.66637298091042585</v>
      </c>
      <c r="N27" t="s">
        <v>92</v>
      </c>
      <c r="P27">
        <v>87.56</v>
      </c>
      <c r="Q27" s="3">
        <f t="shared" si="0"/>
        <v>0.35130196436729105</v>
      </c>
      <c r="R27" t="s">
        <v>93</v>
      </c>
    </row>
    <row r="28" spans="1:18" x14ac:dyDescent="0.2">
      <c r="A28" t="s">
        <v>94</v>
      </c>
      <c r="C28">
        <v>88.35</v>
      </c>
      <c r="D28">
        <v>88.35</v>
      </c>
      <c r="E28">
        <f t="shared" si="2"/>
        <v>88.35</v>
      </c>
      <c r="L28">
        <v>293.8</v>
      </c>
      <c r="M28" s="3">
        <f t="shared" si="1"/>
        <v>0.69928522804629001</v>
      </c>
      <c r="N28" t="s">
        <v>95</v>
      </c>
      <c r="P28">
        <v>61.8</v>
      </c>
      <c r="Q28" s="3">
        <f t="shared" si="0"/>
        <v>0.42961165048543687</v>
      </c>
      <c r="R28" t="s">
        <v>96</v>
      </c>
    </row>
    <row r="29" spans="1:18" x14ac:dyDescent="0.2">
      <c r="A29" t="s">
        <v>97</v>
      </c>
      <c r="C29">
        <v>73.150000000000006</v>
      </c>
      <c r="D29">
        <v>73.150000000000006</v>
      </c>
      <c r="E29">
        <f t="shared" si="2"/>
        <v>73.150000000000006</v>
      </c>
      <c r="L29">
        <v>281.2</v>
      </c>
      <c r="M29" s="3">
        <f t="shared" si="1"/>
        <v>0.7398648648648648</v>
      </c>
      <c r="N29" t="s">
        <v>98</v>
      </c>
      <c r="P29">
        <v>83</v>
      </c>
      <c r="Q29" s="3">
        <f t="shared" si="0"/>
        <v>0.11867469879518065</v>
      </c>
      <c r="R29" t="s">
        <v>99</v>
      </c>
    </row>
    <row r="30" spans="1:18" x14ac:dyDescent="0.2">
      <c r="A30" t="s">
        <v>100</v>
      </c>
      <c r="C30">
        <v>45.88</v>
      </c>
      <c r="D30">
        <v>45.88</v>
      </c>
      <c r="E30">
        <f t="shared" si="2"/>
        <v>45.88</v>
      </c>
      <c r="L30">
        <v>210.37</v>
      </c>
      <c r="M30" s="3">
        <f t="shared" si="1"/>
        <v>0.78190806673955415</v>
      </c>
      <c r="N30" t="s">
        <v>101</v>
      </c>
      <c r="P30">
        <v>59.95</v>
      </c>
      <c r="Q30" s="3">
        <f t="shared" si="0"/>
        <v>0.23469557964970808</v>
      </c>
      <c r="R30" t="s">
        <v>102</v>
      </c>
    </row>
    <row r="31" spans="1:18" x14ac:dyDescent="0.2">
      <c r="A31" t="s">
        <v>103</v>
      </c>
      <c r="C31">
        <v>24.64</v>
      </c>
      <c r="D31">
        <v>24.64</v>
      </c>
      <c r="E31">
        <f t="shared" si="2"/>
        <v>24.64</v>
      </c>
      <c r="L31">
        <v>33.799999999999997</v>
      </c>
      <c r="M31" s="3">
        <f t="shared" si="1"/>
        <v>0.27100591715976324</v>
      </c>
      <c r="N31" t="s">
        <v>104</v>
      </c>
      <c r="P31">
        <v>25.86</v>
      </c>
      <c r="Q31" s="3">
        <f t="shared" si="0"/>
        <v>4.7177107501933442E-2</v>
      </c>
      <c r="R31" t="s">
        <v>105</v>
      </c>
    </row>
    <row r="32" spans="1:18" x14ac:dyDescent="0.2">
      <c r="A32" t="s">
        <v>106</v>
      </c>
      <c r="C32">
        <v>6.16</v>
      </c>
      <c r="D32">
        <v>6.16</v>
      </c>
      <c r="E32">
        <f t="shared" si="2"/>
        <v>6.16</v>
      </c>
      <c r="L32">
        <v>251.69</v>
      </c>
      <c r="M32" s="3">
        <f t="shared" si="1"/>
        <v>0.97552544797171126</v>
      </c>
      <c r="N32" t="s">
        <v>107</v>
      </c>
      <c r="P32">
        <v>17.48</v>
      </c>
      <c r="Q32" s="3">
        <f t="shared" si="0"/>
        <v>0.64759725400457668</v>
      </c>
      <c r="R32" t="s">
        <v>108</v>
      </c>
    </row>
    <row r="33" spans="1:18" x14ac:dyDescent="0.2">
      <c r="A33" t="s">
        <v>109</v>
      </c>
      <c r="C33">
        <v>167.7</v>
      </c>
      <c r="D33">
        <v>167.7</v>
      </c>
      <c r="E33">
        <f t="shared" si="2"/>
        <v>167.7</v>
      </c>
      <c r="L33">
        <v>67.2</v>
      </c>
      <c r="M33" s="3">
        <f t="shared" si="1"/>
        <v>1.495535714285714</v>
      </c>
      <c r="N33" t="s">
        <v>110</v>
      </c>
      <c r="P33">
        <v>311.27</v>
      </c>
      <c r="Q33" s="3">
        <f t="shared" si="0"/>
        <v>0.46123943842965914</v>
      </c>
      <c r="R33" t="s">
        <v>111</v>
      </c>
    </row>
    <row r="34" spans="1:18" x14ac:dyDescent="0.2">
      <c r="A34" t="s">
        <v>112</v>
      </c>
      <c r="C34">
        <v>426.7</v>
      </c>
      <c r="D34">
        <v>426.7</v>
      </c>
      <c r="E34">
        <f t="shared" si="2"/>
        <v>426.7</v>
      </c>
      <c r="L34">
        <v>334</v>
      </c>
      <c r="M34" s="3">
        <f t="shared" si="1"/>
        <v>0.27754491017964067</v>
      </c>
      <c r="N34" t="s">
        <v>113</v>
      </c>
      <c r="P34">
        <v>561</v>
      </c>
      <c r="Q34" s="3">
        <f t="shared" si="0"/>
        <v>0.23939393939393941</v>
      </c>
      <c r="R34" t="s">
        <v>114</v>
      </c>
    </row>
    <row r="35" spans="1:18" x14ac:dyDescent="0.2">
      <c r="A35" t="s">
        <v>115</v>
      </c>
      <c r="C35">
        <v>21</v>
      </c>
      <c r="D35">
        <v>21</v>
      </c>
      <c r="E35">
        <f t="shared" si="2"/>
        <v>21</v>
      </c>
      <c r="L35">
        <v>12.28</v>
      </c>
      <c r="M35" s="3">
        <f t="shared" si="1"/>
        <v>0.71009771986970693</v>
      </c>
      <c r="N35" t="s">
        <v>116</v>
      </c>
      <c r="P35">
        <v>8.58</v>
      </c>
      <c r="Q35" s="3">
        <f t="shared" si="0"/>
        <v>1.4475524475524475</v>
      </c>
      <c r="R35" t="s">
        <v>117</v>
      </c>
    </row>
    <row r="36" spans="1:18" x14ac:dyDescent="0.2">
      <c r="A36" t="s">
        <v>118</v>
      </c>
      <c r="C36">
        <v>129.5</v>
      </c>
      <c r="D36">
        <v>129.5</v>
      </c>
      <c r="E36">
        <f t="shared" si="2"/>
        <v>129.5</v>
      </c>
      <c r="L36">
        <v>309.85000000000002</v>
      </c>
      <c r="M36" s="3">
        <f t="shared" si="1"/>
        <v>0.58205583346780698</v>
      </c>
      <c r="N36" t="s">
        <v>119</v>
      </c>
      <c r="P36">
        <v>289.39</v>
      </c>
      <c r="Q36" s="3">
        <f t="shared" si="0"/>
        <v>0.55250699747745258</v>
      </c>
      <c r="R36" t="s">
        <v>120</v>
      </c>
    </row>
    <row r="37" spans="1:18" x14ac:dyDescent="0.2">
      <c r="A37" t="s">
        <v>121</v>
      </c>
      <c r="C37">
        <v>17.71</v>
      </c>
      <c r="D37">
        <v>17.71</v>
      </c>
      <c r="E37">
        <f t="shared" si="2"/>
        <v>17.71</v>
      </c>
      <c r="L37">
        <v>31</v>
      </c>
      <c r="M37" s="3">
        <f t="shared" si="1"/>
        <v>0.42870967741935478</v>
      </c>
      <c r="N37" t="s">
        <v>122</v>
      </c>
      <c r="P37">
        <v>17.71</v>
      </c>
      <c r="Q37" s="3">
        <f t="shared" si="0"/>
        <v>0</v>
      </c>
      <c r="R37" t="s">
        <v>123</v>
      </c>
    </row>
    <row r="38" spans="1:18" x14ac:dyDescent="0.2">
      <c r="A38" t="s">
        <v>124</v>
      </c>
      <c r="C38">
        <v>214</v>
      </c>
      <c r="D38">
        <v>214</v>
      </c>
      <c r="E38">
        <f t="shared" si="2"/>
        <v>214</v>
      </c>
      <c r="L38">
        <v>113.95</v>
      </c>
      <c r="M38" s="3">
        <f t="shared" si="1"/>
        <v>0.87801667397981564</v>
      </c>
      <c r="N38" t="s">
        <v>125</v>
      </c>
      <c r="P38">
        <v>256.94</v>
      </c>
      <c r="Q38" s="3">
        <f t="shared" si="0"/>
        <v>0.16712072857476454</v>
      </c>
      <c r="R38" t="s">
        <v>126</v>
      </c>
    </row>
    <row r="39" spans="1:18" x14ac:dyDescent="0.2">
      <c r="A39" t="s">
        <v>127</v>
      </c>
      <c r="C39">
        <v>52.08</v>
      </c>
      <c r="D39">
        <v>52.08</v>
      </c>
      <c r="E39">
        <f t="shared" si="2"/>
        <v>52.08</v>
      </c>
      <c r="L39">
        <v>61.92</v>
      </c>
      <c r="M39" s="3">
        <f t="shared" si="1"/>
        <v>0.1589147286821706</v>
      </c>
      <c r="N39" t="s">
        <v>128</v>
      </c>
      <c r="P39">
        <v>30.8</v>
      </c>
      <c r="Q39" s="3">
        <f t="shared" si="0"/>
        <v>0.69090909090909081</v>
      </c>
      <c r="R39" t="s">
        <v>129</v>
      </c>
    </row>
    <row r="40" spans="1:18" x14ac:dyDescent="0.2">
      <c r="A40" t="s">
        <v>130</v>
      </c>
      <c r="C40">
        <v>190</v>
      </c>
      <c r="D40">
        <v>190</v>
      </c>
      <c r="E40">
        <f t="shared" si="2"/>
        <v>190</v>
      </c>
      <c r="L40">
        <v>64.5</v>
      </c>
      <c r="M40" s="3">
        <f t="shared" si="1"/>
        <v>1.945736434108527</v>
      </c>
      <c r="N40" t="s">
        <v>131</v>
      </c>
      <c r="P40">
        <v>217.93</v>
      </c>
      <c r="Q40" s="3">
        <f t="shared" si="0"/>
        <v>0.12816041848299917</v>
      </c>
      <c r="R40" t="s">
        <v>132</v>
      </c>
    </row>
    <row r="41" spans="1:18" x14ac:dyDescent="0.2">
      <c r="A41" t="s">
        <v>133</v>
      </c>
      <c r="C41">
        <v>284</v>
      </c>
      <c r="D41">
        <v>284</v>
      </c>
      <c r="E41">
        <f t="shared" si="2"/>
        <v>284</v>
      </c>
      <c r="L41">
        <v>101.05</v>
      </c>
      <c r="M41" s="3">
        <f t="shared" si="1"/>
        <v>1.8104898565066798</v>
      </c>
      <c r="N41" t="s">
        <v>134</v>
      </c>
      <c r="P41">
        <v>285.95</v>
      </c>
      <c r="Q41" s="3">
        <f t="shared" si="0"/>
        <v>6.8193740164364004E-3</v>
      </c>
      <c r="R41" t="s">
        <v>135</v>
      </c>
    </row>
    <row r="42" spans="1:18" x14ac:dyDescent="0.2">
      <c r="A42" t="s">
        <v>136</v>
      </c>
      <c r="C42">
        <v>142.4</v>
      </c>
      <c r="D42">
        <v>142.4</v>
      </c>
      <c r="E42">
        <f t="shared" si="2"/>
        <v>142.4</v>
      </c>
      <c r="L42">
        <v>219.6</v>
      </c>
      <c r="M42" s="3">
        <f t="shared" si="1"/>
        <v>0.35154826958105645</v>
      </c>
      <c r="N42" t="s">
        <v>137</v>
      </c>
      <c r="P42">
        <v>215</v>
      </c>
      <c r="Q42" s="3">
        <f t="shared" si="0"/>
        <v>0.33767441860465114</v>
      </c>
      <c r="R42" t="s">
        <v>138</v>
      </c>
    </row>
    <row r="43" spans="1:18" x14ac:dyDescent="0.2">
      <c r="A43" t="s">
        <v>139</v>
      </c>
      <c r="C43">
        <v>116.8</v>
      </c>
      <c r="D43">
        <v>116.8</v>
      </c>
      <c r="E43">
        <f t="shared" si="2"/>
        <v>116.8</v>
      </c>
      <c r="L43">
        <v>145.91</v>
      </c>
      <c r="M43" s="3">
        <f t="shared" si="1"/>
        <v>0.19950654513055993</v>
      </c>
      <c r="N43" t="s">
        <v>140</v>
      </c>
      <c r="P43">
        <v>172</v>
      </c>
      <c r="Q43" s="3">
        <f t="shared" si="0"/>
        <v>0.32093023255813957</v>
      </c>
      <c r="R43" t="s">
        <v>141</v>
      </c>
    </row>
    <row r="44" spans="1:18" x14ac:dyDescent="0.2">
      <c r="A44" t="s">
        <v>142</v>
      </c>
      <c r="C44">
        <v>177.45</v>
      </c>
      <c r="D44">
        <v>177.45</v>
      </c>
      <c r="E44">
        <f t="shared" si="2"/>
        <v>177.45</v>
      </c>
      <c r="L44">
        <v>61.6</v>
      </c>
      <c r="M44" s="3">
        <f t="shared" si="1"/>
        <v>1.8806818181818181</v>
      </c>
      <c r="N44" t="s">
        <v>143</v>
      </c>
      <c r="P44">
        <v>141.72999999999999</v>
      </c>
      <c r="Q44" s="3">
        <f t="shared" si="0"/>
        <v>0.25202850490369011</v>
      </c>
      <c r="R44" t="s">
        <v>144</v>
      </c>
    </row>
    <row r="45" spans="1:18" x14ac:dyDescent="0.2">
      <c r="A45" t="s">
        <v>145</v>
      </c>
      <c r="C45">
        <v>597.36</v>
      </c>
      <c r="D45">
        <v>597.36</v>
      </c>
      <c r="E45">
        <f t="shared" si="2"/>
        <v>597.36</v>
      </c>
      <c r="L45">
        <v>3415.51</v>
      </c>
      <c r="M45" s="3">
        <f t="shared" si="1"/>
        <v>0.82510371803918003</v>
      </c>
      <c r="N45" t="s">
        <v>146</v>
      </c>
      <c r="P45">
        <v>419.22</v>
      </c>
      <c r="Q45" s="3">
        <f t="shared" si="0"/>
        <v>0.42493201660226126</v>
      </c>
      <c r="R45" t="s">
        <v>147</v>
      </c>
    </row>
    <row r="46" spans="1:18" x14ac:dyDescent="0.2">
      <c r="A46" t="s">
        <v>148</v>
      </c>
      <c r="C46">
        <v>98.56</v>
      </c>
      <c r="D46">
        <v>98.56</v>
      </c>
      <c r="E46">
        <f t="shared" si="2"/>
        <v>98.56</v>
      </c>
      <c r="L46">
        <v>53.2</v>
      </c>
      <c r="M46" s="3">
        <f t="shared" si="1"/>
        <v>0.85263157894736841</v>
      </c>
      <c r="N46" t="s">
        <v>149</v>
      </c>
      <c r="P46">
        <v>331</v>
      </c>
      <c r="Q46" s="3">
        <f t="shared" si="0"/>
        <v>0.70223564954682782</v>
      </c>
      <c r="R46" t="s">
        <v>150</v>
      </c>
    </row>
    <row r="47" spans="1:18" x14ac:dyDescent="0.2">
      <c r="A47" t="s">
        <v>151</v>
      </c>
      <c r="C47">
        <v>30.94</v>
      </c>
      <c r="D47">
        <v>30.94</v>
      </c>
      <c r="E47">
        <f t="shared" si="2"/>
        <v>30.94</v>
      </c>
      <c r="L47">
        <v>9.8000000000000007</v>
      </c>
      <c r="M47" s="3">
        <f t="shared" si="1"/>
        <v>2.157142857142857</v>
      </c>
      <c r="N47" t="s">
        <v>152</v>
      </c>
      <c r="P47">
        <v>75</v>
      </c>
      <c r="Q47" s="3">
        <f t="shared" si="0"/>
        <v>0.58746666666666669</v>
      </c>
      <c r="R47" t="s">
        <v>153</v>
      </c>
    </row>
    <row r="48" spans="1:18" x14ac:dyDescent="0.2">
      <c r="A48" t="s">
        <v>154</v>
      </c>
      <c r="C48">
        <v>494</v>
      </c>
      <c r="D48">
        <v>494</v>
      </c>
      <c r="E48">
        <f t="shared" si="2"/>
        <v>494</v>
      </c>
      <c r="L48">
        <v>236.5</v>
      </c>
      <c r="M48" s="3">
        <f t="shared" si="1"/>
        <v>1.0887949260042282</v>
      </c>
      <c r="N48" t="s">
        <v>155</v>
      </c>
      <c r="P48">
        <v>892.8</v>
      </c>
      <c r="Q48" s="3">
        <f t="shared" si="0"/>
        <v>0.44668458781362003</v>
      </c>
      <c r="R48" t="s">
        <v>156</v>
      </c>
    </row>
    <row r="49" spans="1:18" x14ac:dyDescent="0.2">
      <c r="A49" t="s">
        <v>157</v>
      </c>
      <c r="C49">
        <v>46.2</v>
      </c>
      <c r="D49">
        <v>46.2</v>
      </c>
      <c r="E49">
        <f t="shared" si="2"/>
        <v>46.2</v>
      </c>
      <c r="L49">
        <v>24.54</v>
      </c>
      <c r="M49" s="3">
        <f t="shared" si="1"/>
        <v>0.88264058679706625</v>
      </c>
      <c r="N49" t="s">
        <v>158</v>
      </c>
      <c r="P49">
        <v>78</v>
      </c>
      <c r="Q49" s="3">
        <f t="shared" si="0"/>
        <v>0.40769230769230763</v>
      </c>
      <c r="R49" t="s">
        <v>159</v>
      </c>
    </row>
    <row r="50" spans="1:18" x14ac:dyDescent="0.2">
      <c r="A50" t="s">
        <v>160</v>
      </c>
      <c r="C50">
        <v>98.34</v>
      </c>
      <c r="D50">
        <v>98.34</v>
      </c>
      <c r="E50">
        <f t="shared" si="2"/>
        <v>98.34</v>
      </c>
      <c r="L50">
        <v>316.70999999999998</v>
      </c>
      <c r="M50" s="3">
        <f t="shared" si="1"/>
        <v>0.68949512172018568</v>
      </c>
      <c r="N50" t="s">
        <v>161</v>
      </c>
      <c r="P50">
        <v>274.8</v>
      </c>
      <c r="Q50" s="3">
        <f t="shared" si="0"/>
        <v>0.64213973799126634</v>
      </c>
      <c r="R50" t="s">
        <v>162</v>
      </c>
    </row>
    <row r="51" spans="1:18" x14ac:dyDescent="0.2">
      <c r="A51" t="s">
        <v>163</v>
      </c>
      <c r="C51">
        <v>143.52000000000001</v>
      </c>
      <c r="D51">
        <v>143.52000000000001</v>
      </c>
      <c r="E51">
        <f t="shared" si="2"/>
        <v>143.52000000000001</v>
      </c>
      <c r="L51">
        <v>223.89</v>
      </c>
      <c r="M51" s="3">
        <f t="shared" si="1"/>
        <v>0.35897092322122465</v>
      </c>
      <c r="N51" t="s">
        <v>164</v>
      </c>
      <c r="P51">
        <v>150.69999999999999</v>
      </c>
      <c r="Q51" s="3">
        <f t="shared" si="0"/>
        <v>4.7644326476443122E-2</v>
      </c>
      <c r="R51" t="s">
        <v>165</v>
      </c>
    </row>
    <row r="52" spans="1:18" x14ac:dyDescent="0.2">
      <c r="A52" t="s">
        <v>166</v>
      </c>
      <c r="C52">
        <v>9.8800000000000008</v>
      </c>
      <c r="D52">
        <v>9.8800000000000008</v>
      </c>
      <c r="E52">
        <f t="shared" si="2"/>
        <v>9.8800000000000008</v>
      </c>
      <c r="L52">
        <v>53.54</v>
      </c>
      <c r="M52" s="3">
        <f t="shared" si="1"/>
        <v>0.8154650728427344</v>
      </c>
      <c r="N52" t="s">
        <v>167</v>
      </c>
      <c r="P52">
        <v>1.37</v>
      </c>
      <c r="Q52" s="3">
        <f t="shared" si="0"/>
        <v>6.2116788321167888</v>
      </c>
      <c r="R52" t="s">
        <v>168</v>
      </c>
    </row>
    <row r="53" spans="1:18" x14ac:dyDescent="0.2">
      <c r="A53" t="s">
        <v>169</v>
      </c>
      <c r="C53">
        <v>241</v>
      </c>
      <c r="D53">
        <v>241</v>
      </c>
      <c r="E53">
        <f t="shared" si="2"/>
        <v>241</v>
      </c>
      <c r="L53">
        <v>96.75</v>
      </c>
      <c r="M53" s="3">
        <f t="shared" si="1"/>
        <v>1.4909560723514212</v>
      </c>
      <c r="N53" t="s">
        <v>170</v>
      </c>
      <c r="P53">
        <v>143.84</v>
      </c>
      <c r="Q53" s="3">
        <f t="shared" si="0"/>
        <v>0.67547274749721908</v>
      </c>
      <c r="R53" t="s">
        <v>171</v>
      </c>
    </row>
    <row r="54" spans="1:18" x14ac:dyDescent="0.2">
      <c r="A54" t="s">
        <v>172</v>
      </c>
      <c r="C54">
        <v>1464.932</v>
      </c>
      <c r="D54">
        <v>1464.932</v>
      </c>
      <c r="E54">
        <f t="shared" si="2"/>
        <v>1464.932</v>
      </c>
      <c r="L54">
        <v>465</v>
      </c>
      <c r="M54" s="3">
        <f t="shared" si="1"/>
        <v>2.1503913978494622</v>
      </c>
      <c r="N54" t="s">
        <v>173</v>
      </c>
      <c r="P54">
        <v>848</v>
      </c>
      <c r="Q54" s="3">
        <f t="shared" si="0"/>
        <v>0.72751415094339622</v>
      </c>
      <c r="R54" t="s">
        <v>174</v>
      </c>
    </row>
    <row r="55" spans="1:18" x14ac:dyDescent="0.2">
      <c r="A55" t="s">
        <v>175</v>
      </c>
      <c r="C55">
        <v>382</v>
      </c>
      <c r="D55">
        <v>382</v>
      </c>
      <c r="E55">
        <f t="shared" si="2"/>
        <v>382</v>
      </c>
      <c r="L55">
        <v>172</v>
      </c>
      <c r="M55" s="3">
        <f t="shared" si="1"/>
        <v>1.2209302325581395</v>
      </c>
      <c r="N55" t="s">
        <v>176</v>
      </c>
      <c r="P55">
        <v>638.29</v>
      </c>
      <c r="Q55" s="3">
        <f t="shared" si="0"/>
        <v>0.40152595215340986</v>
      </c>
      <c r="R55" t="s">
        <v>177</v>
      </c>
    </row>
    <row r="56" spans="1:18" x14ac:dyDescent="0.2">
      <c r="A56" t="s">
        <v>178</v>
      </c>
      <c r="C56">
        <v>63.64</v>
      </c>
      <c r="D56">
        <v>63.64</v>
      </c>
      <c r="E56">
        <f t="shared" si="2"/>
        <v>63.64</v>
      </c>
      <c r="L56">
        <v>316.70999999999998</v>
      </c>
      <c r="M56" s="3">
        <f t="shared" si="1"/>
        <v>0.79905907612642479</v>
      </c>
      <c r="N56" t="s">
        <v>179</v>
      </c>
      <c r="P56">
        <v>79.430000000000007</v>
      </c>
      <c r="Q56" s="3">
        <f t="shared" si="0"/>
        <v>0.19879138864408918</v>
      </c>
      <c r="R56" t="s">
        <v>180</v>
      </c>
    </row>
    <row r="57" spans="1:18" x14ac:dyDescent="0.2">
      <c r="A57" t="s">
        <v>181</v>
      </c>
      <c r="C57">
        <v>295</v>
      </c>
      <c r="D57">
        <v>295</v>
      </c>
      <c r="E57">
        <f t="shared" si="2"/>
        <v>295</v>
      </c>
      <c r="L57">
        <v>126.85</v>
      </c>
      <c r="M57" s="3">
        <f t="shared" si="1"/>
        <v>1.3255813953488373</v>
      </c>
      <c r="N57" t="s">
        <v>182</v>
      </c>
      <c r="P57">
        <v>302</v>
      </c>
      <c r="Q57" s="3">
        <f t="shared" si="0"/>
        <v>2.3178807947019868E-2</v>
      </c>
      <c r="R57" t="s">
        <v>183</v>
      </c>
    </row>
    <row r="58" spans="1:18" x14ac:dyDescent="0.2">
      <c r="A58" t="s">
        <v>184</v>
      </c>
      <c r="C58">
        <v>173</v>
      </c>
      <c r="D58">
        <v>173</v>
      </c>
      <c r="E58">
        <f t="shared" si="2"/>
        <v>173</v>
      </c>
      <c r="L58">
        <v>633.91</v>
      </c>
      <c r="M58" s="3">
        <f t="shared" si="1"/>
        <v>0.72709059645691032</v>
      </c>
      <c r="N58" t="s">
        <v>185</v>
      </c>
      <c r="P58">
        <v>800</v>
      </c>
      <c r="Q58" s="3">
        <f t="shared" si="0"/>
        <v>0.78374999999999995</v>
      </c>
      <c r="R58" t="s">
        <v>186</v>
      </c>
    </row>
    <row r="59" spans="1:18" x14ac:dyDescent="0.2">
      <c r="A59" t="s">
        <v>187</v>
      </c>
      <c r="C59">
        <v>496.74</v>
      </c>
      <c r="D59">
        <v>496.74</v>
      </c>
      <c r="E59">
        <f t="shared" si="2"/>
        <v>496.74</v>
      </c>
      <c r="L59">
        <v>1175.6099999999999</v>
      </c>
      <c r="M59" s="3">
        <f t="shared" si="1"/>
        <v>0.57746191338964448</v>
      </c>
      <c r="N59" t="s">
        <v>188</v>
      </c>
      <c r="P59">
        <v>779.25</v>
      </c>
      <c r="Q59" s="3">
        <f t="shared" si="0"/>
        <v>0.36254090471607314</v>
      </c>
      <c r="R59" t="s">
        <v>189</v>
      </c>
    </row>
    <row r="60" spans="1:18" x14ac:dyDescent="0.2">
      <c r="A60" t="s">
        <v>190</v>
      </c>
      <c r="C60">
        <v>40.216000000000001</v>
      </c>
      <c r="D60">
        <v>40.216000000000001</v>
      </c>
      <c r="E60">
        <f t="shared" si="2"/>
        <v>40.216000000000001</v>
      </c>
      <c r="L60">
        <v>76.8</v>
      </c>
      <c r="M60" s="3">
        <f t="shared" si="1"/>
        <v>0.47635416666666663</v>
      </c>
      <c r="N60" t="s">
        <v>191</v>
      </c>
      <c r="P60">
        <v>80.75</v>
      </c>
      <c r="Q60" s="3">
        <f t="shared" si="0"/>
        <v>0.50196904024767797</v>
      </c>
      <c r="R60" t="s">
        <v>192</v>
      </c>
    </row>
    <row r="61" spans="1:18" x14ac:dyDescent="0.2">
      <c r="A61" t="s">
        <v>193</v>
      </c>
      <c r="C61">
        <v>161.32</v>
      </c>
      <c r="D61">
        <v>161.32</v>
      </c>
      <c r="E61">
        <f t="shared" si="2"/>
        <v>161.32</v>
      </c>
      <c r="L61">
        <v>223.89</v>
      </c>
      <c r="M61" s="3">
        <f t="shared" si="1"/>
        <v>0.27946759569431417</v>
      </c>
      <c r="N61" t="s">
        <v>194</v>
      </c>
      <c r="P61">
        <v>156</v>
      </c>
      <c r="Q61" s="3">
        <f t="shared" si="0"/>
        <v>3.4102564102564056E-2</v>
      </c>
      <c r="R61" t="s">
        <v>195</v>
      </c>
    </row>
    <row r="62" spans="1:18" x14ac:dyDescent="0.2">
      <c r="A62" t="s">
        <v>196</v>
      </c>
      <c r="C62">
        <v>46.97</v>
      </c>
      <c r="D62">
        <v>46.97</v>
      </c>
      <c r="E62">
        <f t="shared" si="2"/>
        <v>46.97</v>
      </c>
      <c r="L62">
        <v>182.71</v>
      </c>
      <c r="M62" s="3">
        <f t="shared" si="1"/>
        <v>0.74292594822396152</v>
      </c>
      <c r="N62" t="s">
        <v>197</v>
      </c>
      <c r="P62">
        <v>85</v>
      </c>
      <c r="Q62" s="3">
        <f t="shared" si="0"/>
        <v>0.44741176470588234</v>
      </c>
      <c r="R62" t="s">
        <v>198</v>
      </c>
    </row>
    <row r="63" spans="1:18" x14ac:dyDescent="0.2">
      <c r="A63" t="s">
        <v>199</v>
      </c>
      <c r="C63">
        <v>110.05</v>
      </c>
      <c r="D63">
        <v>110.05</v>
      </c>
      <c r="E63">
        <f t="shared" si="2"/>
        <v>110.05</v>
      </c>
      <c r="L63">
        <v>156.69</v>
      </c>
      <c r="M63" s="3">
        <f t="shared" si="1"/>
        <v>0.29765779564745676</v>
      </c>
      <c r="N63" t="s">
        <v>200</v>
      </c>
      <c r="P63">
        <v>172</v>
      </c>
      <c r="Q63" s="3">
        <f t="shared" si="0"/>
        <v>0.36017441860465116</v>
      </c>
      <c r="R63" t="s">
        <v>201</v>
      </c>
    </row>
    <row r="64" spans="1:18" x14ac:dyDescent="0.2">
      <c r="A64" t="s">
        <v>202</v>
      </c>
      <c r="C64">
        <v>13.2</v>
      </c>
      <c r="D64">
        <v>13.2</v>
      </c>
      <c r="E64">
        <f t="shared" si="2"/>
        <v>13.2</v>
      </c>
      <c r="L64">
        <v>63.27</v>
      </c>
      <c r="M64" s="3">
        <f t="shared" si="1"/>
        <v>0.79137031768610722</v>
      </c>
      <c r="N64" t="s">
        <v>203</v>
      </c>
      <c r="P64">
        <v>23.63</v>
      </c>
      <c r="Q64" s="3">
        <f t="shared" si="0"/>
        <v>0.44138806601777403</v>
      </c>
      <c r="R64" t="s">
        <v>204</v>
      </c>
    </row>
    <row r="65" spans="1:18" x14ac:dyDescent="0.2">
      <c r="A65" t="s">
        <v>205</v>
      </c>
      <c r="C65">
        <v>42.9</v>
      </c>
      <c r="D65">
        <v>42.9</v>
      </c>
      <c r="E65">
        <f t="shared" si="2"/>
        <v>42.9</v>
      </c>
      <c r="L65">
        <v>133.87</v>
      </c>
      <c r="M65" s="3">
        <f t="shared" si="1"/>
        <v>0.67953985209531631</v>
      </c>
      <c r="N65" t="s">
        <v>206</v>
      </c>
      <c r="P65">
        <v>71</v>
      </c>
      <c r="Q65" s="3">
        <f t="shared" si="0"/>
        <v>0.39577464788732397</v>
      </c>
      <c r="R65" t="s">
        <v>207</v>
      </c>
    </row>
    <row r="66" spans="1:18" x14ac:dyDescent="0.2">
      <c r="A66" t="s">
        <v>208</v>
      </c>
      <c r="C66">
        <v>40.6</v>
      </c>
      <c r="D66">
        <v>40.6</v>
      </c>
      <c r="E66">
        <f t="shared" si="2"/>
        <v>40.6</v>
      </c>
      <c r="L66">
        <v>27.28</v>
      </c>
      <c r="M66" s="3">
        <f t="shared" si="1"/>
        <v>0.48826979472140764</v>
      </c>
      <c r="N66" t="s">
        <v>209</v>
      </c>
      <c r="P66">
        <v>30.6</v>
      </c>
      <c r="Q66" s="3">
        <f t="shared" si="0"/>
        <v>0.32679738562091504</v>
      </c>
      <c r="R66" t="s">
        <v>210</v>
      </c>
    </row>
    <row r="67" spans="1:18" x14ac:dyDescent="0.2">
      <c r="A67" t="s">
        <v>211</v>
      </c>
      <c r="C67">
        <v>39.087899999999998</v>
      </c>
      <c r="D67">
        <v>39.087899999999998</v>
      </c>
      <c r="E67">
        <f t="shared" si="2"/>
        <v>39.087899999999998</v>
      </c>
      <c r="L67">
        <v>912.88</v>
      </c>
      <c r="M67" s="3">
        <f t="shared" si="1"/>
        <v>0.95718177635614754</v>
      </c>
      <c r="N67" t="s">
        <v>212</v>
      </c>
      <c r="P67">
        <v>70</v>
      </c>
      <c r="Q67" s="3">
        <f t="shared" ref="Q67:Q78" si="3">ABS((E67-P67)/P67)</f>
        <v>0.44160142857142859</v>
      </c>
      <c r="R67" t="s">
        <v>213</v>
      </c>
    </row>
    <row r="68" spans="1:18" x14ac:dyDescent="0.2">
      <c r="A68" t="s">
        <v>214</v>
      </c>
      <c r="C68">
        <v>75.05</v>
      </c>
      <c r="D68">
        <v>75.05</v>
      </c>
      <c r="E68">
        <f t="shared" si="2"/>
        <v>75.05</v>
      </c>
      <c r="L68">
        <v>155.04</v>
      </c>
      <c r="M68" s="3">
        <f t="shared" ref="M68:M78" si="4">ABS((E68-L68)/L68)</f>
        <v>0.51593137254901955</v>
      </c>
      <c r="N68" t="s">
        <v>215</v>
      </c>
      <c r="P68">
        <v>35.1</v>
      </c>
      <c r="Q68" s="3">
        <f t="shared" si="3"/>
        <v>1.1381766381766381</v>
      </c>
      <c r="R68" t="s">
        <v>216</v>
      </c>
    </row>
    <row r="69" spans="1:18" x14ac:dyDescent="0.2">
      <c r="A69" t="s">
        <v>217</v>
      </c>
      <c r="C69">
        <v>161.048</v>
      </c>
      <c r="D69">
        <v>161.048</v>
      </c>
      <c r="E69">
        <f t="shared" ref="E69:E78" si="5">AVERAGE(C69:D69)</f>
        <v>161.048</v>
      </c>
      <c r="L69">
        <v>322.49</v>
      </c>
      <c r="M69" s="3">
        <f t="shared" si="4"/>
        <v>0.50061087165493501</v>
      </c>
      <c r="N69" t="s">
        <v>218</v>
      </c>
      <c r="P69">
        <v>356</v>
      </c>
      <c r="Q69" s="3">
        <f t="shared" si="3"/>
        <v>0.54761797752808983</v>
      </c>
      <c r="R69" t="s">
        <v>219</v>
      </c>
    </row>
    <row r="70" spans="1:18" x14ac:dyDescent="0.2">
      <c r="A70" t="s">
        <v>220</v>
      </c>
      <c r="C70">
        <v>71.25</v>
      </c>
      <c r="D70">
        <v>71.25</v>
      </c>
      <c r="E70">
        <f t="shared" si="5"/>
        <v>71.25</v>
      </c>
      <c r="L70">
        <v>108.7</v>
      </c>
      <c r="M70" s="3">
        <f t="shared" si="4"/>
        <v>0.34452621895124197</v>
      </c>
      <c r="N70" t="s">
        <v>221</v>
      </c>
      <c r="P70">
        <v>41.01</v>
      </c>
      <c r="Q70" s="3">
        <f t="shared" si="3"/>
        <v>0.73738112655449894</v>
      </c>
      <c r="R70" t="s">
        <v>222</v>
      </c>
    </row>
    <row r="71" spans="1:18" x14ac:dyDescent="0.2">
      <c r="A71" t="s">
        <v>223</v>
      </c>
      <c r="C71">
        <v>5.4</v>
      </c>
      <c r="D71">
        <v>5.4</v>
      </c>
      <c r="E71">
        <f t="shared" si="5"/>
        <v>5.4</v>
      </c>
      <c r="L71">
        <v>7.44</v>
      </c>
      <c r="M71" s="3">
        <f t="shared" si="4"/>
        <v>0.27419354838709675</v>
      </c>
      <c r="N71" t="s">
        <v>224</v>
      </c>
      <c r="P71">
        <v>6.88</v>
      </c>
      <c r="Q71" s="3">
        <f t="shared" si="3"/>
        <v>0.21511627906976738</v>
      </c>
      <c r="R71" t="s">
        <v>225</v>
      </c>
    </row>
    <row r="72" spans="1:18" x14ac:dyDescent="0.2">
      <c r="A72" t="s">
        <v>226</v>
      </c>
      <c r="C72">
        <v>33.630000000000003</v>
      </c>
      <c r="D72">
        <v>33.630000000000003</v>
      </c>
      <c r="E72">
        <f t="shared" si="5"/>
        <v>33.630000000000003</v>
      </c>
      <c r="L72">
        <v>46.8</v>
      </c>
      <c r="M72" s="3">
        <f t="shared" si="4"/>
        <v>0.2814102564102563</v>
      </c>
      <c r="N72" t="s">
        <v>227</v>
      </c>
      <c r="P72">
        <v>26.08</v>
      </c>
      <c r="Q72" s="3">
        <f t="shared" si="3"/>
        <v>0.28949386503067503</v>
      </c>
      <c r="R72" t="s">
        <v>228</v>
      </c>
    </row>
    <row r="73" spans="1:18" x14ac:dyDescent="0.2">
      <c r="A73" t="s">
        <v>229</v>
      </c>
      <c r="C73">
        <v>92.5</v>
      </c>
      <c r="D73">
        <v>92.5</v>
      </c>
      <c r="E73">
        <f t="shared" si="5"/>
        <v>92.5</v>
      </c>
      <c r="L73">
        <v>292.8</v>
      </c>
      <c r="M73" s="3">
        <f t="shared" si="4"/>
        <v>0.68408469945355188</v>
      </c>
      <c r="N73" t="s">
        <v>230</v>
      </c>
      <c r="P73">
        <v>90.3</v>
      </c>
      <c r="Q73" s="3">
        <f t="shared" si="3"/>
        <v>2.4363233665559279E-2</v>
      </c>
      <c r="R73" t="s">
        <v>231</v>
      </c>
    </row>
    <row r="74" spans="1:18" x14ac:dyDescent="0.2">
      <c r="A74" t="s">
        <v>232</v>
      </c>
      <c r="C74">
        <v>4.3739999999999997</v>
      </c>
      <c r="D74">
        <v>4.3739999999999997</v>
      </c>
      <c r="E74">
        <f t="shared" si="5"/>
        <v>4.3739999999999997</v>
      </c>
      <c r="L74">
        <v>180.34</v>
      </c>
      <c r="M74" s="3">
        <f t="shared" si="4"/>
        <v>0.9757458134634579</v>
      </c>
      <c r="N74" t="s">
        <v>233</v>
      </c>
      <c r="P74">
        <v>45.14</v>
      </c>
      <c r="Q74" s="3">
        <f t="shared" si="3"/>
        <v>0.90310146211785547</v>
      </c>
      <c r="R74" t="s">
        <v>234</v>
      </c>
    </row>
    <row r="75" spans="1:18" x14ac:dyDescent="0.2">
      <c r="A75" t="s">
        <v>235</v>
      </c>
      <c r="C75">
        <v>4.3739999999999997</v>
      </c>
      <c r="D75">
        <v>4.3739999999999997</v>
      </c>
      <c r="E75">
        <f t="shared" si="5"/>
        <v>4.3739999999999997</v>
      </c>
      <c r="L75">
        <v>77.010000000000005</v>
      </c>
      <c r="M75" s="3">
        <f t="shared" si="4"/>
        <v>0.94320218153486568</v>
      </c>
      <c r="N75" t="s">
        <v>236</v>
      </c>
      <c r="P75">
        <v>1.03</v>
      </c>
      <c r="Q75" s="3">
        <f t="shared" si="3"/>
        <v>3.246601941747572</v>
      </c>
      <c r="R75" t="s">
        <v>237</v>
      </c>
    </row>
    <row r="76" spans="1:18" x14ac:dyDescent="0.2">
      <c r="A76" t="s">
        <v>238</v>
      </c>
      <c r="C76">
        <v>26.66</v>
      </c>
      <c r="D76">
        <v>26.66</v>
      </c>
      <c r="E76">
        <f t="shared" si="5"/>
        <v>26.66</v>
      </c>
      <c r="L76">
        <v>27.74</v>
      </c>
      <c r="M76" s="3">
        <f t="shared" si="4"/>
        <v>3.8932948810382062E-2</v>
      </c>
      <c r="N76" t="s">
        <v>239</v>
      </c>
      <c r="P76">
        <v>60</v>
      </c>
      <c r="Q76" s="3">
        <f t="shared" si="3"/>
        <v>0.55566666666666675</v>
      </c>
      <c r="R76" t="s">
        <v>240</v>
      </c>
    </row>
    <row r="77" spans="1:18" x14ac:dyDescent="0.2">
      <c r="A77" t="s">
        <v>241</v>
      </c>
      <c r="C77">
        <v>65.86</v>
      </c>
      <c r="D77">
        <v>65.86</v>
      </c>
      <c r="E77">
        <f t="shared" si="5"/>
        <v>65.86</v>
      </c>
      <c r="L77">
        <v>225.32</v>
      </c>
      <c r="M77" s="3">
        <f t="shared" si="4"/>
        <v>0.70770459790520146</v>
      </c>
      <c r="N77" t="s">
        <v>242</v>
      </c>
      <c r="P77">
        <v>150</v>
      </c>
      <c r="Q77" s="3">
        <f t="shared" si="3"/>
        <v>0.56093333333333328</v>
      </c>
      <c r="R77" t="s">
        <v>243</v>
      </c>
    </row>
    <row r="78" spans="1:18" x14ac:dyDescent="0.2">
      <c r="A78" t="s">
        <v>244</v>
      </c>
      <c r="C78">
        <v>71.040000000000006</v>
      </c>
      <c r="D78">
        <v>71.040000000000006</v>
      </c>
      <c r="E78">
        <f t="shared" si="5"/>
        <v>71.040000000000006</v>
      </c>
      <c r="L78">
        <v>353.31</v>
      </c>
      <c r="M78" s="3">
        <f t="shared" si="4"/>
        <v>0.79893011802666203</v>
      </c>
      <c r="N78" t="s">
        <v>245</v>
      </c>
      <c r="P78">
        <v>304.8</v>
      </c>
      <c r="Q78" s="3">
        <f t="shared" si="3"/>
        <v>0.76692913385826766</v>
      </c>
      <c r="R78" t="s">
        <v>246</v>
      </c>
    </row>
    <row r="81" spans="13:17" x14ac:dyDescent="0.2">
      <c r="M81" s="3">
        <f>AVERAGE(M2:M78)</f>
        <v>0.75091738355149495</v>
      </c>
      <c r="Q81" s="4">
        <f>AVERAGE(Q2:Q78)</f>
        <v>0.58694266824455932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Linfield</cp:lastModifiedBy>
  <dcterms:created xsi:type="dcterms:W3CDTF">2026-01-21T15:27:36Z</dcterms:created>
  <dcterms:modified xsi:type="dcterms:W3CDTF">2026-01-22T12:10:21Z</dcterms:modified>
</cp:coreProperties>
</file>