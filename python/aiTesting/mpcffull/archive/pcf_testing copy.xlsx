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linfield/ijs/v2/"/>
    </mc:Choice>
  </mc:AlternateContent>
  <xr:revisionPtr revIDLastSave="0" documentId="13_ncr:1_{1045565F-9506-3A4A-BF5F-C6E164F50BF1}" xr6:coauthVersionLast="47" xr6:coauthVersionMax="47" xr10:uidLastSave="{00000000-0000-0000-0000-000000000000}"/>
  <bookViews>
    <workbookView xWindow="38920" yWindow="2960" windowWidth="31660" windowHeight="19520" xr2:uid="{830E5A24-70F8-5B47-84F6-461D8B656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10" i="1"/>
  <c r="H11" i="1"/>
  <c r="H12" i="1"/>
  <c r="H13" i="1"/>
  <c r="H14" i="1"/>
  <c r="H15" i="1"/>
  <c r="H16" i="1"/>
  <c r="H17" i="1"/>
  <c r="H2" i="1"/>
  <c r="C3" i="1" l="1"/>
  <c r="H3" i="1" s="1"/>
  <c r="C9" i="1"/>
  <c r="H9" i="1" s="1"/>
</calcChain>
</file>

<file path=xl/sharedStrings.xml><?xml version="1.0" encoding="utf-8"?>
<sst xmlns="http://schemas.openxmlformats.org/spreadsheetml/2006/main" count="90" uniqueCount="88">
  <si>
    <t>product_name</t>
  </si>
  <si>
    <t>cf_c2grave</t>
  </si>
  <si>
    <t>Cisco 8201-SYS Router</t>
  </si>
  <si>
    <t>Cisco Catalyst 9166I Access Point</t>
  </si>
  <si>
    <t>Cisco Catalyst 9200CX-12P-2X2G Compact Switch</t>
  </si>
  <si>
    <t>Cisco Catalyst 9200L-48P-4X Switch</t>
  </si>
  <si>
    <t>Catalyst 9300-48P Switch</t>
  </si>
  <si>
    <t>Catalyst 9407R Switch</t>
  </si>
  <si>
    <t>Catalyst 9500-48Y4C Switch</t>
  </si>
  <si>
    <t>Catalyst C8300-1N1S-6T Router</t>
  </si>
  <si>
    <t>Catalyst C8500L-8S4X Edge Platform</t>
  </si>
  <si>
    <t>Catalyst IE-3300-8T2S Rugged Switch</t>
  </si>
  <si>
    <t>Catalyst IR1101 Rugged Router</t>
  </si>
  <si>
    <t>Cisco Ceiling Microphone Pro</t>
  </si>
  <si>
    <t>Cisco CS-DESKPRO-K9</t>
  </si>
  <si>
    <t>Cisco Desk Phone 9871</t>
  </si>
  <si>
    <t>Cisco IP Phone 8851</t>
  </si>
  <si>
    <t>Cisco Meraki MX67 Router/Security Appliance</t>
  </si>
  <si>
    <t>cf_c2gate_min</t>
  </si>
  <si>
    <t>cf_c2gate_max</t>
  </si>
  <si>
    <t>% difference</t>
  </si>
  <si>
    <t>Apple Studio Display</t>
  </si>
  <si>
    <t>Amazon Kindle Scribe 32GB (3rd Gen, 2025 Release)</t>
  </si>
  <si>
    <t>Apple HomePod (2nd generation)</t>
  </si>
  <si>
    <t>Apple Mac mini with M4 Pro (64GB memory, 8TB SSD)</t>
  </si>
  <si>
    <t>Apple Watch SE 3 (44mm paired with Sport Loop)</t>
  </si>
  <si>
    <t>Apple MacBook Pro 16-inch (512GB)</t>
  </si>
  <si>
    <t>Amazon Kindle Scribe Colorsoft 32GB (1st Gen, 2025 Release)</t>
  </si>
  <si>
    <t>Apple iPad Pro 11-inch (M5) Wi-Fi + Cellular 2TB</t>
  </si>
  <si>
    <t>Apple iPad Pro 13-inch (M5) Wi-Fi + Cellular 256GB</t>
  </si>
  <si>
    <t>Apple iPad mini (A17 Pro) Wi-Fi + Cellular 256GB</t>
  </si>
  <si>
    <t>Apple iPhone 17 Pro 1TB</t>
  </si>
  <si>
    <t>Apple iPhone 17 Pro Max 512GB</t>
  </si>
  <si>
    <t>Apple iPhone 16e 512GB</t>
  </si>
  <si>
    <t>Ring Outdoor Cam Pro (Plug-In)</t>
  </si>
  <si>
    <t>Apple Watch Ultra 3 paired with Titanium Milanese Loop</t>
  </si>
  <si>
    <t>HP 200 G3 All-in-One PC (North America)</t>
  </si>
  <si>
    <t>Samsung Signage QB55B</t>
  </si>
  <si>
    <t>HomePod mini</t>
  </si>
  <si>
    <t>Apple MacBook Pro 14-inch (M5) (1TB SSD Storage and 24GB Unified Memory)</t>
  </si>
  <si>
    <t>Ring Wired Doorbell Pro (Plug-In - 3rd Gen)</t>
  </si>
  <si>
    <t>Amazon Fire TV 50" Omni QLED Series (2nd Gen)</t>
  </si>
  <si>
    <t>Kindle Scribe Without Front Light 16GB (3rd Gen, 2025 Release)</t>
  </si>
  <si>
    <t>Amazon Fire TV 43" 4-Series (3rd Gen)</t>
  </si>
  <si>
    <t>Amazon Fire TV 55" 4-Series (3rd Gen)</t>
  </si>
  <si>
    <t>HP 240 G7 Notebook PC (Asia Pacific)</t>
  </si>
  <si>
    <t>HP 14 Laptop</t>
  </si>
  <si>
    <t>HP 200 Pro G4 All-in-One PC (North America)</t>
  </si>
  <si>
    <t>Apple Mac Pro</t>
  </si>
  <si>
    <t>HP Chromebook Enterprise 14 G7 (North America)</t>
  </si>
  <si>
    <t>HP DeskJet 2130 (North America)</t>
  </si>
  <si>
    <t>Amazon Fire TV 75" Omni QLED Series (2nd Gen)</t>
  </si>
  <si>
    <t>HP ENVY 4520 (Paper Included)</t>
  </si>
  <si>
    <t>HP HC241 Display (Asia Pacific)</t>
  </si>
  <si>
    <t>Apple Mac Studio (M4 Max, 512GB SSD)</t>
  </si>
  <si>
    <t>AirPods Pro 3</t>
  </si>
  <si>
    <t>Amazon Fire TV 50" 4-Series (3rd Gen)</t>
  </si>
  <si>
    <t>Samsung Neo QLED 75QN90C</t>
  </si>
  <si>
    <t>Amazon Fire TV 65" Omni QLED Series (2nd Gen)</t>
  </si>
  <si>
    <t>Apple iPad (A16) 512GB</t>
  </si>
  <si>
    <t>Amazon Fire TV 55" Omni QLED Series (2nd Gen)</t>
  </si>
  <si>
    <t>Apple iMac (two ports) 256GB</t>
  </si>
  <si>
    <t>Apple Pro Display XDR with Pro Stand</t>
  </si>
  <si>
    <t>Samsung Galaxy S25</t>
  </si>
  <si>
    <t>Apple MacBook Pro 14-inch with M4 Pro (512GB)</t>
  </si>
  <si>
    <t>Apple iPhone 17 512GB</t>
  </si>
  <si>
    <t>Apple MacBook Air 15-inch with M4 (512GB SSD)</t>
  </si>
  <si>
    <t>Ring Wired Doorbell Plus (Plug In - 2nd Gen)</t>
  </si>
  <si>
    <t>Apple iPhone Air (256GB)</t>
  </si>
  <si>
    <t>Amazon Echo Show 11 (2025 Release)</t>
  </si>
  <si>
    <t>Samsung Galaxy Z Fold7</t>
  </si>
  <si>
    <t>Kindle Scribe Colorsoft 64GB (1st Gen, 2025 Release)</t>
  </si>
  <si>
    <t>Samsung ViewFinity S32D80*E (LS32D800EAUXEN)</t>
  </si>
  <si>
    <t>Amazon Kindle Scribe 64GB (3rd Gen, 2025 Release)</t>
  </si>
  <si>
    <t>Ring Indoor Cam Plus</t>
  </si>
  <si>
    <t>Amazon Echo Show 8 (2025 Release)</t>
  </si>
  <si>
    <t>HP 11 inch Tablet PC (North America)</t>
  </si>
  <si>
    <t>Apple Watch Series 11, Titanium Case with Sport Loop</t>
  </si>
  <si>
    <t>Apple Watch Series 11, Aluminum Case with Sport Loop</t>
  </si>
  <si>
    <t>Apple TV 4K (3rd generation) with Siri Remote (64GB)</t>
  </si>
  <si>
    <t>Apple iPad Air 13-inch (M3) 128GB</t>
  </si>
  <si>
    <t>Apple iPad Air 11-inch (M3) 512GB</t>
  </si>
  <si>
    <t>ai_reasoning_sef</t>
  </si>
  <si>
    <t>ai_resoning_aef</t>
  </si>
  <si>
    <t>spend_based_ef_cf</t>
  </si>
  <si>
    <t>activity_based_ef_cf</t>
  </si>
  <si>
    <t>cf_ecozeAI</t>
  </si>
  <si>
    <t>cf_value_extracted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</si>
</sst>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CE9178"/>
      <name val="Menlo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9" fontId="3" fillId="0" borderId="0" xfId="1" applyFon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2133-079B-0948-A503-8BF32D416C4D}">
  <dimension ref="A1:P78"/>
  <sheetViews>
    <sheetView tabSelected="1" workbookViewId="0">
      <selection activeCell="G2" sqref="G2"/>
    </sheetView>
  </sheetViews>
  <sheetFormatPr baseColWidth="10" defaultRowHeight="16" x14ac:dyDescent="0.2"/>
  <cols>
    <col min="1" max="1" width="36.1640625" customWidth="1"/>
    <col min="8" max="8" width="10.83203125" style="4"/>
  </cols>
  <sheetData>
    <row r="1" spans="1:16" s="2" customFormat="1" x14ac:dyDescent="0.2">
      <c r="A1" s="2" t="s">
        <v>0</v>
      </c>
      <c r="B1" s="2" t="s">
        <v>18</v>
      </c>
      <c r="C1" s="2" t="s">
        <v>19</v>
      </c>
      <c r="D1" s="2" t="s">
        <v>1</v>
      </c>
      <c r="F1" s="2" t="s">
        <v>86</v>
      </c>
      <c r="G1" s="2" t="s">
        <v>87</v>
      </c>
      <c r="H1" s="3" t="s">
        <v>20</v>
      </c>
      <c r="J1" s="2" t="s">
        <v>84</v>
      </c>
      <c r="K1" s="2" t="s">
        <v>20</v>
      </c>
      <c r="L1" s="2" t="s">
        <v>82</v>
      </c>
      <c r="N1" s="2" t="s">
        <v>85</v>
      </c>
      <c r="O1" s="2" t="s">
        <v>20</v>
      </c>
      <c r="P1" s="2" t="s">
        <v>83</v>
      </c>
    </row>
    <row r="2" spans="1:16" x14ac:dyDescent="0.2">
      <c r="A2" t="s">
        <v>6</v>
      </c>
      <c r="B2">
        <v>390</v>
      </c>
      <c r="C2">
        <v>402</v>
      </c>
      <c r="D2">
        <v>2720</v>
      </c>
      <c r="H2" s="4">
        <f>(((B2+C2)/2)-F2)/((B2+C2)/2)</f>
        <v>1</v>
      </c>
    </row>
    <row r="3" spans="1:16" x14ac:dyDescent="0.2">
      <c r="A3" t="s">
        <v>7</v>
      </c>
      <c r="B3">
        <v>1736</v>
      </c>
      <c r="C3">
        <f>1736+89</f>
        <v>1825</v>
      </c>
      <c r="D3">
        <v>36787</v>
      </c>
      <c r="H3" s="4">
        <f t="shared" ref="H3:H17" si="0">(((B3+C3)/2)-F3)/((B3+C3)/2)</f>
        <v>1</v>
      </c>
    </row>
    <row r="4" spans="1:16" x14ac:dyDescent="0.2">
      <c r="A4" t="s">
        <v>8</v>
      </c>
      <c r="B4">
        <v>250</v>
      </c>
      <c r="C4">
        <v>266</v>
      </c>
      <c r="D4">
        <v>5054</v>
      </c>
      <c r="H4" s="4">
        <f t="shared" si="0"/>
        <v>1</v>
      </c>
    </row>
    <row r="5" spans="1:16" x14ac:dyDescent="0.2">
      <c r="A5" t="s">
        <v>9</v>
      </c>
      <c r="B5">
        <v>207</v>
      </c>
      <c r="C5">
        <v>219</v>
      </c>
      <c r="D5">
        <v>1926</v>
      </c>
      <c r="H5" s="4">
        <f t="shared" si="0"/>
        <v>1</v>
      </c>
    </row>
    <row r="6" spans="1:16" x14ac:dyDescent="0.2">
      <c r="A6" t="s">
        <v>10</v>
      </c>
      <c r="B6">
        <v>239</v>
      </c>
      <c r="C6">
        <v>253</v>
      </c>
      <c r="D6">
        <v>2772</v>
      </c>
      <c r="H6" s="4">
        <f t="shared" si="0"/>
        <v>1</v>
      </c>
    </row>
    <row r="7" spans="1:16" x14ac:dyDescent="0.2">
      <c r="A7" t="s">
        <v>11</v>
      </c>
      <c r="B7">
        <v>106</v>
      </c>
      <c r="C7">
        <v>109</v>
      </c>
      <c r="D7">
        <v>588</v>
      </c>
      <c r="H7" s="4">
        <f t="shared" si="0"/>
        <v>1</v>
      </c>
      <c r="K7" s="1"/>
      <c r="L7" s="1"/>
    </row>
    <row r="8" spans="1:16" x14ac:dyDescent="0.2">
      <c r="A8" t="s">
        <v>12</v>
      </c>
      <c r="B8">
        <v>50</v>
      </c>
      <c r="C8">
        <v>52</v>
      </c>
      <c r="D8">
        <v>256</v>
      </c>
      <c r="H8" s="4">
        <f t="shared" si="0"/>
        <v>1</v>
      </c>
      <c r="K8" s="1"/>
      <c r="L8" s="1"/>
    </row>
    <row r="9" spans="1:16" x14ac:dyDescent="0.2">
      <c r="A9" t="s">
        <v>2</v>
      </c>
      <c r="B9">
        <v>285</v>
      </c>
      <c r="C9">
        <f>285+16</f>
        <v>301</v>
      </c>
      <c r="D9">
        <v>8939</v>
      </c>
      <c r="H9" s="4">
        <f t="shared" si="0"/>
        <v>1</v>
      </c>
      <c r="K9" s="1"/>
      <c r="L9" s="1"/>
    </row>
    <row r="10" spans="1:16" x14ac:dyDescent="0.2">
      <c r="A10" t="s">
        <v>3</v>
      </c>
      <c r="B10">
        <v>91</v>
      </c>
      <c r="C10">
        <v>111</v>
      </c>
      <c r="D10">
        <v>575</v>
      </c>
      <c r="F10" s="1"/>
      <c r="G10" s="1"/>
      <c r="H10" s="4">
        <f t="shared" si="0"/>
        <v>1</v>
      </c>
    </row>
    <row r="11" spans="1:16" x14ac:dyDescent="0.2">
      <c r="A11" t="s">
        <v>4</v>
      </c>
      <c r="B11">
        <v>93</v>
      </c>
      <c r="C11">
        <v>98</v>
      </c>
      <c r="D11">
        <v>914</v>
      </c>
      <c r="H11" s="4">
        <f t="shared" si="0"/>
        <v>1</v>
      </c>
    </row>
    <row r="12" spans="1:16" x14ac:dyDescent="0.2">
      <c r="A12" t="s">
        <v>5</v>
      </c>
      <c r="B12">
        <v>146</v>
      </c>
      <c r="C12">
        <v>156</v>
      </c>
      <c r="D12">
        <v>1477</v>
      </c>
      <c r="H12" s="4">
        <f t="shared" si="0"/>
        <v>1</v>
      </c>
    </row>
    <row r="13" spans="1:16" x14ac:dyDescent="0.2">
      <c r="A13" t="s">
        <v>13</v>
      </c>
      <c r="B13">
        <v>77</v>
      </c>
      <c r="C13">
        <v>84</v>
      </c>
      <c r="D13">
        <v>157</v>
      </c>
      <c r="H13" s="4">
        <f t="shared" si="0"/>
        <v>1</v>
      </c>
    </row>
    <row r="14" spans="1:16" x14ac:dyDescent="0.2">
      <c r="A14" t="s">
        <v>14</v>
      </c>
      <c r="B14">
        <v>480</v>
      </c>
      <c r="C14">
        <v>500</v>
      </c>
      <c r="D14">
        <v>892</v>
      </c>
      <c r="H14" s="4">
        <f t="shared" si="0"/>
        <v>1</v>
      </c>
    </row>
    <row r="15" spans="1:16" x14ac:dyDescent="0.2">
      <c r="A15" t="s">
        <v>15</v>
      </c>
      <c r="B15">
        <v>25</v>
      </c>
      <c r="C15">
        <v>27</v>
      </c>
      <c r="D15">
        <v>75</v>
      </c>
      <c r="H15" s="4">
        <f t="shared" si="0"/>
        <v>1</v>
      </c>
    </row>
    <row r="16" spans="1:16" x14ac:dyDescent="0.2">
      <c r="A16" t="s">
        <v>16</v>
      </c>
      <c r="B16">
        <v>25</v>
      </c>
      <c r="C16">
        <v>27</v>
      </c>
      <c r="D16">
        <v>76</v>
      </c>
      <c r="H16" s="4">
        <f t="shared" si="0"/>
        <v>1</v>
      </c>
    </row>
    <row r="17" spans="1:8" x14ac:dyDescent="0.2">
      <c r="A17" t="s">
        <v>17</v>
      </c>
      <c r="B17">
        <v>54</v>
      </c>
      <c r="C17">
        <v>69</v>
      </c>
      <c r="D17">
        <v>260</v>
      </c>
      <c r="H17" s="4">
        <f t="shared" si="0"/>
        <v>1</v>
      </c>
    </row>
    <row r="18" spans="1:8" x14ac:dyDescent="0.2">
      <c r="A18" t="s">
        <v>21</v>
      </c>
      <c r="B18">
        <v>206.72</v>
      </c>
      <c r="C18">
        <v>206.72</v>
      </c>
    </row>
    <row r="19" spans="1:8" x14ac:dyDescent="0.2">
      <c r="A19" t="s">
        <v>22</v>
      </c>
      <c r="B19">
        <v>57.34</v>
      </c>
      <c r="C19">
        <v>57.34</v>
      </c>
    </row>
    <row r="20" spans="1:8" x14ac:dyDescent="0.2">
      <c r="A20" t="s">
        <v>23</v>
      </c>
      <c r="B20">
        <v>58.88</v>
      </c>
      <c r="C20">
        <v>58.88</v>
      </c>
    </row>
    <row r="21" spans="1:8" x14ac:dyDescent="0.2">
      <c r="A21" t="s">
        <v>24</v>
      </c>
      <c r="B21">
        <v>105.27</v>
      </c>
      <c r="C21">
        <v>105.27</v>
      </c>
    </row>
    <row r="22" spans="1:8" x14ac:dyDescent="0.2">
      <c r="A22" t="s">
        <v>25</v>
      </c>
      <c r="B22">
        <v>4.1820000000000004</v>
      </c>
      <c r="C22">
        <v>4.1820000000000004</v>
      </c>
    </row>
    <row r="23" spans="1:8" x14ac:dyDescent="0.2">
      <c r="A23" t="s">
        <v>26</v>
      </c>
      <c r="B23">
        <v>192.51</v>
      </c>
      <c r="C23">
        <v>192.51</v>
      </c>
    </row>
    <row r="24" spans="1:8" x14ac:dyDescent="0.2">
      <c r="A24" t="s">
        <v>27</v>
      </c>
      <c r="B24">
        <v>61.1</v>
      </c>
      <c r="C24">
        <v>61.1</v>
      </c>
    </row>
    <row r="25" spans="1:8" x14ac:dyDescent="0.2">
      <c r="A25" t="s">
        <v>28</v>
      </c>
      <c r="B25">
        <v>142.80000000000001</v>
      </c>
      <c r="C25">
        <v>142.80000000000001</v>
      </c>
    </row>
    <row r="26" spans="1:8" x14ac:dyDescent="0.2">
      <c r="A26" t="s">
        <v>29</v>
      </c>
      <c r="B26">
        <v>100.8</v>
      </c>
      <c r="C26">
        <v>100.8</v>
      </c>
    </row>
    <row r="27" spans="1:8" ht="17" customHeight="1" x14ac:dyDescent="0.2">
      <c r="A27" t="s">
        <v>30</v>
      </c>
      <c r="B27">
        <v>56.8</v>
      </c>
      <c r="C27">
        <v>56.8</v>
      </c>
    </row>
    <row r="28" spans="1:8" x14ac:dyDescent="0.2">
      <c r="A28" t="s">
        <v>31</v>
      </c>
      <c r="B28">
        <v>88.35</v>
      </c>
      <c r="C28">
        <v>88.35</v>
      </c>
    </row>
    <row r="29" spans="1:8" x14ac:dyDescent="0.2">
      <c r="A29" t="s">
        <v>32</v>
      </c>
      <c r="B29">
        <v>73.150000000000006</v>
      </c>
      <c r="C29">
        <v>73.150000000000006</v>
      </c>
    </row>
    <row r="30" spans="1:8" x14ac:dyDescent="0.2">
      <c r="A30" t="s">
        <v>33</v>
      </c>
      <c r="B30">
        <v>45.88</v>
      </c>
      <c r="C30">
        <v>45.88</v>
      </c>
    </row>
    <row r="31" spans="1:8" x14ac:dyDescent="0.2">
      <c r="A31" t="s">
        <v>34</v>
      </c>
      <c r="B31">
        <v>24.64</v>
      </c>
      <c r="C31">
        <v>24.64</v>
      </c>
    </row>
    <row r="32" spans="1:8" x14ac:dyDescent="0.2">
      <c r="A32" t="s">
        <v>35</v>
      </c>
      <c r="B32">
        <v>6.16</v>
      </c>
      <c r="C32">
        <v>6.16</v>
      </c>
    </row>
    <row r="33" spans="1:3" x14ac:dyDescent="0.2">
      <c r="A33" t="s">
        <v>36</v>
      </c>
      <c r="B33">
        <v>167.7</v>
      </c>
      <c r="C33">
        <v>167.7</v>
      </c>
    </row>
    <row r="34" spans="1:3" x14ac:dyDescent="0.2">
      <c r="A34" t="s">
        <v>37</v>
      </c>
      <c r="B34">
        <v>426.7</v>
      </c>
      <c r="C34">
        <v>426.7</v>
      </c>
    </row>
    <row r="35" spans="1:3" x14ac:dyDescent="0.2">
      <c r="A35" t="s">
        <v>38</v>
      </c>
      <c r="B35">
        <v>21</v>
      </c>
      <c r="C35">
        <v>21</v>
      </c>
    </row>
    <row r="36" spans="1:3" x14ac:dyDescent="0.2">
      <c r="A36" t="s">
        <v>39</v>
      </c>
      <c r="B36">
        <v>129.5</v>
      </c>
      <c r="C36">
        <v>129.5</v>
      </c>
    </row>
    <row r="37" spans="1:3" x14ac:dyDescent="0.2">
      <c r="A37" t="s">
        <v>40</v>
      </c>
      <c r="B37">
        <v>17.71</v>
      </c>
      <c r="C37">
        <v>17.71</v>
      </c>
    </row>
    <row r="38" spans="1:3" x14ac:dyDescent="0.2">
      <c r="A38" t="s">
        <v>41</v>
      </c>
      <c r="B38">
        <v>214</v>
      </c>
      <c r="C38">
        <v>214</v>
      </c>
    </row>
    <row r="39" spans="1:3" x14ac:dyDescent="0.2">
      <c r="A39" t="s">
        <v>42</v>
      </c>
      <c r="B39">
        <v>52.08</v>
      </c>
      <c r="C39">
        <v>52.08</v>
      </c>
    </row>
    <row r="40" spans="1:3" x14ac:dyDescent="0.2">
      <c r="A40" t="s">
        <v>43</v>
      </c>
      <c r="B40">
        <v>190</v>
      </c>
      <c r="C40">
        <v>190</v>
      </c>
    </row>
    <row r="41" spans="1:3" x14ac:dyDescent="0.2">
      <c r="A41" t="s">
        <v>44</v>
      </c>
      <c r="B41">
        <v>284</v>
      </c>
      <c r="C41">
        <v>284</v>
      </c>
    </row>
    <row r="42" spans="1:3" x14ac:dyDescent="0.2">
      <c r="A42" t="s">
        <v>45</v>
      </c>
      <c r="B42">
        <v>142.4</v>
      </c>
      <c r="C42">
        <v>142.4</v>
      </c>
    </row>
    <row r="43" spans="1:3" x14ac:dyDescent="0.2">
      <c r="A43" t="s">
        <v>46</v>
      </c>
      <c r="B43">
        <v>116.8</v>
      </c>
      <c r="C43">
        <v>116.8</v>
      </c>
    </row>
    <row r="44" spans="1:3" x14ac:dyDescent="0.2">
      <c r="A44" t="s">
        <v>47</v>
      </c>
      <c r="B44">
        <v>177.45</v>
      </c>
      <c r="C44">
        <v>177.45</v>
      </c>
    </row>
    <row r="45" spans="1:3" x14ac:dyDescent="0.2">
      <c r="A45" t="s">
        <v>48</v>
      </c>
      <c r="B45">
        <v>597.36</v>
      </c>
      <c r="C45">
        <v>597.36</v>
      </c>
    </row>
    <row r="46" spans="1:3" x14ac:dyDescent="0.2">
      <c r="A46" t="s">
        <v>49</v>
      </c>
      <c r="B46">
        <v>98.56</v>
      </c>
      <c r="C46">
        <v>98.56</v>
      </c>
    </row>
    <row r="47" spans="1:3" x14ac:dyDescent="0.2">
      <c r="A47" t="s">
        <v>50</v>
      </c>
      <c r="B47">
        <v>30.94</v>
      </c>
      <c r="C47">
        <v>30.94</v>
      </c>
    </row>
    <row r="48" spans="1:3" x14ac:dyDescent="0.2">
      <c r="A48" t="s">
        <v>51</v>
      </c>
      <c r="B48">
        <v>494</v>
      </c>
      <c r="C48">
        <v>494</v>
      </c>
    </row>
    <row r="49" spans="1:3" x14ac:dyDescent="0.2">
      <c r="A49" t="s">
        <v>52</v>
      </c>
      <c r="B49">
        <v>46.2</v>
      </c>
      <c r="C49">
        <v>46.2</v>
      </c>
    </row>
    <row r="50" spans="1:3" x14ac:dyDescent="0.2">
      <c r="A50" t="s">
        <v>53</v>
      </c>
      <c r="B50">
        <v>98.34</v>
      </c>
      <c r="C50">
        <v>98.34</v>
      </c>
    </row>
    <row r="51" spans="1:3" x14ac:dyDescent="0.2">
      <c r="A51" t="s">
        <v>54</v>
      </c>
      <c r="B51">
        <v>143.52000000000001</v>
      </c>
      <c r="C51">
        <v>143.52000000000001</v>
      </c>
    </row>
    <row r="52" spans="1:3" x14ac:dyDescent="0.2">
      <c r="A52" t="s">
        <v>55</v>
      </c>
      <c r="B52">
        <v>9.8800000000000008</v>
      </c>
      <c r="C52">
        <v>9.8800000000000008</v>
      </c>
    </row>
    <row r="53" spans="1:3" x14ac:dyDescent="0.2">
      <c r="A53" t="s">
        <v>56</v>
      </c>
      <c r="B53">
        <v>241</v>
      </c>
      <c r="C53">
        <v>241</v>
      </c>
    </row>
    <row r="54" spans="1:3" x14ac:dyDescent="0.2">
      <c r="A54" t="s">
        <v>57</v>
      </c>
      <c r="B54">
        <v>1464.932</v>
      </c>
      <c r="C54">
        <v>1464.932</v>
      </c>
    </row>
    <row r="55" spans="1:3" x14ac:dyDescent="0.2">
      <c r="A55" t="s">
        <v>58</v>
      </c>
      <c r="B55">
        <v>382</v>
      </c>
      <c r="C55">
        <v>382</v>
      </c>
    </row>
    <row r="56" spans="1:3" x14ac:dyDescent="0.2">
      <c r="A56" t="s">
        <v>59</v>
      </c>
      <c r="B56">
        <v>63.64</v>
      </c>
      <c r="C56">
        <v>63.64</v>
      </c>
    </row>
    <row r="57" spans="1:3" x14ac:dyDescent="0.2">
      <c r="A57" t="s">
        <v>60</v>
      </c>
      <c r="B57">
        <v>295</v>
      </c>
      <c r="C57">
        <v>295</v>
      </c>
    </row>
    <row r="58" spans="1:3" x14ac:dyDescent="0.2">
      <c r="A58" t="s">
        <v>61</v>
      </c>
      <c r="B58">
        <v>173</v>
      </c>
      <c r="C58">
        <v>173</v>
      </c>
    </row>
    <row r="59" spans="1:3" x14ac:dyDescent="0.2">
      <c r="A59" t="s">
        <v>62</v>
      </c>
      <c r="B59">
        <v>496.74</v>
      </c>
      <c r="C59">
        <v>496.74</v>
      </c>
    </row>
    <row r="60" spans="1:3" x14ac:dyDescent="0.2">
      <c r="A60" t="s">
        <v>63</v>
      </c>
      <c r="B60">
        <v>40.216000000000001</v>
      </c>
      <c r="C60">
        <v>40.216000000000001</v>
      </c>
    </row>
    <row r="61" spans="1:3" x14ac:dyDescent="0.2">
      <c r="A61" t="s">
        <v>64</v>
      </c>
      <c r="B61">
        <v>161.32</v>
      </c>
      <c r="C61">
        <v>161.32</v>
      </c>
    </row>
    <row r="62" spans="1:3" x14ac:dyDescent="0.2">
      <c r="A62" t="s">
        <v>65</v>
      </c>
      <c r="B62">
        <v>46.97</v>
      </c>
      <c r="C62">
        <v>46.97</v>
      </c>
    </row>
    <row r="63" spans="1:3" x14ac:dyDescent="0.2">
      <c r="A63" t="s">
        <v>66</v>
      </c>
      <c r="B63">
        <v>110.05</v>
      </c>
      <c r="C63">
        <v>110.05</v>
      </c>
    </row>
    <row r="64" spans="1:3" x14ac:dyDescent="0.2">
      <c r="A64" t="s">
        <v>67</v>
      </c>
      <c r="B64">
        <v>13.2</v>
      </c>
      <c r="C64">
        <v>13.2</v>
      </c>
    </row>
    <row r="65" spans="1:3" x14ac:dyDescent="0.2">
      <c r="A65" t="s">
        <v>68</v>
      </c>
      <c r="B65">
        <v>42.9</v>
      </c>
      <c r="C65">
        <v>42.9</v>
      </c>
    </row>
    <row r="66" spans="1:3" x14ac:dyDescent="0.2">
      <c r="A66" t="s">
        <v>69</v>
      </c>
      <c r="B66">
        <v>40.6</v>
      </c>
      <c r="C66">
        <v>40.6</v>
      </c>
    </row>
    <row r="67" spans="1:3" x14ac:dyDescent="0.2">
      <c r="A67" t="s">
        <v>70</v>
      </c>
      <c r="B67">
        <v>39.087899999999998</v>
      </c>
      <c r="C67">
        <v>39.087899999999998</v>
      </c>
    </row>
    <row r="68" spans="1:3" x14ac:dyDescent="0.2">
      <c r="A68" t="s">
        <v>71</v>
      </c>
      <c r="B68">
        <v>75.05</v>
      </c>
      <c r="C68">
        <v>75.05</v>
      </c>
    </row>
    <row r="69" spans="1:3" x14ac:dyDescent="0.2">
      <c r="A69" t="s">
        <v>72</v>
      </c>
      <c r="B69">
        <v>161.048</v>
      </c>
      <c r="C69">
        <v>161.048</v>
      </c>
    </row>
    <row r="70" spans="1:3" x14ac:dyDescent="0.2">
      <c r="A70" t="s">
        <v>73</v>
      </c>
      <c r="B70">
        <v>71.25</v>
      </c>
      <c r="C70">
        <v>71.25</v>
      </c>
    </row>
    <row r="71" spans="1:3" x14ac:dyDescent="0.2">
      <c r="A71" t="s">
        <v>74</v>
      </c>
      <c r="B71">
        <v>5.4</v>
      </c>
      <c r="C71">
        <v>5.4</v>
      </c>
    </row>
    <row r="72" spans="1:3" x14ac:dyDescent="0.2">
      <c r="A72" t="s">
        <v>75</v>
      </c>
      <c r="B72">
        <v>33.630000000000003</v>
      </c>
      <c r="C72">
        <v>33.630000000000003</v>
      </c>
    </row>
    <row r="73" spans="1:3" x14ac:dyDescent="0.2">
      <c r="A73" t="s">
        <v>76</v>
      </c>
      <c r="B73">
        <v>92.5</v>
      </c>
      <c r="C73">
        <v>92.5</v>
      </c>
    </row>
    <row r="74" spans="1:3" x14ac:dyDescent="0.2">
      <c r="A74" t="s">
        <v>77</v>
      </c>
      <c r="B74">
        <v>4.3739999999999997</v>
      </c>
      <c r="C74">
        <v>4.3739999999999997</v>
      </c>
    </row>
    <row r="75" spans="1:3" x14ac:dyDescent="0.2">
      <c r="A75" t="s">
        <v>78</v>
      </c>
      <c r="B75">
        <v>4.3739999999999997</v>
      </c>
      <c r="C75">
        <v>4.3739999999999997</v>
      </c>
    </row>
    <row r="76" spans="1:3" x14ac:dyDescent="0.2">
      <c r="A76" t="s">
        <v>79</v>
      </c>
      <c r="B76">
        <v>26.66</v>
      </c>
      <c r="C76">
        <v>26.66</v>
      </c>
    </row>
    <row r="77" spans="1:3" x14ac:dyDescent="0.2">
      <c r="A77" t="s">
        <v>80</v>
      </c>
      <c r="B77">
        <v>65.86</v>
      </c>
      <c r="C77">
        <v>65.86</v>
      </c>
    </row>
    <row r="78" spans="1:3" x14ac:dyDescent="0.2">
      <c r="A78" t="s">
        <v>81</v>
      </c>
      <c r="B78">
        <v>71.040000000000006</v>
      </c>
      <c r="C78">
        <v>71.040000000000006</v>
      </c>
    </row>
  </sheetData>
  <sortState xmlns:xlrd2="http://schemas.microsoft.com/office/spreadsheetml/2017/richdata2" ref="A2:D17">
    <sortCondition ref="A2:A17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Linfield</dc:creator>
  <cp:lastModifiedBy>Sam Linfield</cp:lastModifiedBy>
  <dcterms:created xsi:type="dcterms:W3CDTF">2026-01-18T16:25:34Z</dcterms:created>
  <dcterms:modified xsi:type="dcterms:W3CDTF">2026-01-20T15:42:27Z</dcterms:modified>
</cp:coreProperties>
</file>